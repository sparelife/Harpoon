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HarpoonMaster\"/>
    </mc:Choice>
  </mc:AlternateContent>
  <bookViews>
    <workbookView xWindow="0" yWindow="0" windowWidth="19200" windowHeight="7430" activeTab="1"/>
  </bookViews>
  <sheets>
    <sheet name="说明" sheetId="2" r:id="rId1"/>
    <sheet name="备选" sheetId="1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7" i="1" l="1"/>
  <c r="M97" i="1"/>
  <c r="P95" i="1"/>
  <c r="M95" i="1"/>
  <c r="P93" i="1"/>
  <c r="M93" i="1"/>
  <c r="P91" i="1"/>
  <c r="M91" i="1"/>
  <c r="P89" i="1"/>
  <c r="M89" i="1"/>
  <c r="P87" i="1"/>
  <c r="M87" i="1"/>
  <c r="P85" i="1"/>
  <c r="M85" i="1"/>
  <c r="P83" i="1"/>
  <c r="M83" i="1"/>
  <c r="P81" i="1"/>
  <c r="M81" i="1"/>
  <c r="P79" i="1"/>
  <c r="M79" i="1"/>
  <c r="P77" i="1"/>
  <c r="M77" i="1"/>
  <c r="P75" i="1"/>
  <c r="M75" i="1"/>
  <c r="P73" i="1"/>
  <c r="M73" i="1"/>
  <c r="P71" i="1"/>
  <c r="M71" i="1"/>
  <c r="P69" i="1"/>
  <c r="P67" i="1"/>
  <c r="M67" i="1"/>
  <c r="P65" i="1"/>
  <c r="M65" i="1"/>
  <c r="P63" i="1"/>
  <c r="M63" i="1"/>
  <c r="P61" i="1"/>
  <c r="M61" i="1"/>
  <c r="P59" i="1"/>
  <c r="P57" i="1"/>
  <c r="P55" i="1"/>
  <c r="P53" i="1"/>
  <c r="P51" i="1"/>
  <c r="M51" i="1"/>
  <c r="P49" i="1"/>
  <c r="P47" i="1"/>
  <c r="P45" i="1"/>
  <c r="P43" i="1"/>
  <c r="P41" i="1"/>
  <c r="M41" i="1"/>
  <c r="P39" i="1"/>
  <c r="M39" i="1"/>
  <c r="P37" i="1"/>
  <c r="M37" i="1"/>
  <c r="P35" i="1"/>
  <c r="P33" i="1"/>
  <c r="M33" i="1"/>
  <c r="P31" i="1"/>
  <c r="M31" i="1"/>
  <c r="P29" i="1"/>
  <c r="M29" i="1"/>
  <c r="P27" i="1"/>
  <c r="P25" i="1"/>
  <c r="P23" i="1"/>
  <c r="M23" i="1"/>
  <c r="P21" i="1"/>
  <c r="M21" i="1"/>
  <c r="P19" i="1"/>
  <c r="M19" i="1"/>
  <c r="P17" i="1"/>
  <c r="P15" i="1"/>
  <c r="M15" i="1"/>
  <c r="P13" i="1"/>
  <c r="P11" i="1"/>
  <c r="M11" i="1"/>
  <c r="P9" i="1"/>
  <c r="P7" i="1"/>
  <c r="M7" i="1"/>
  <c r="P5" i="1"/>
  <c r="M5" i="1"/>
  <c r="P3" i="1"/>
</calcChain>
</file>

<file path=xl/sharedStrings.xml><?xml version="1.0" encoding="utf-8"?>
<sst xmlns="http://schemas.openxmlformats.org/spreadsheetml/2006/main" count="319" uniqueCount="235">
  <si>
    <t>知名私募/牛散</t>
  </si>
  <si>
    <t>财务预警</t>
  </si>
  <si>
    <t>说明</t>
  </si>
  <si>
    <t>林园投资</t>
  </si>
  <si>
    <t>秃鹰攻击</t>
  </si>
  <si>
    <t>睿郡资产</t>
  </si>
  <si>
    <t>利多下跌</t>
  </si>
  <si>
    <t>宁泉资产</t>
  </si>
  <si>
    <t>高管减持</t>
  </si>
  <si>
    <t>明汯投资</t>
  </si>
  <si>
    <t>大股东占用资金</t>
  </si>
  <si>
    <t>1.直接占用2.提供担保3.高价购买关联方资产</t>
  </si>
  <si>
    <t>平石资管</t>
  </si>
  <si>
    <t>更换会计事务所</t>
  </si>
  <si>
    <t>迎水投资</t>
  </si>
  <si>
    <t>频繁更换高级经理人</t>
  </si>
  <si>
    <t>集团内复制担保质押</t>
  </si>
  <si>
    <t>丁碧霞</t>
  </si>
  <si>
    <t>非营业利润大幅上升</t>
  </si>
  <si>
    <t>李怡名</t>
  </si>
  <si>
    <t>营收账存货固定资产异常</t>
  </si>
  <si>
    <t>钟宝申</t>
  </si>
  <si>
    <t>高质量媒体曝光</t>
  </si>
  <si>
    <t>郑志坤</t>
  </si>
  <si>
    <t>梁小红</t>
  </si>
  <si>
    <t>偿债能力</t>
  </si>
  <si>
    <t>出处</t>
  </si>
  <si>
    <t>现金流量比率 = 经营活动产生的现金流量净额 / 流动负债</t>
  </si>
  <si>
    <t>采用新浪财经“财务比率”页面数据</t>
  </si>
  <si>
    <t>与手动计算和“问财”数据略有区别</t>
  </si>
  <si>
    <t>现金比率 = 现金及现金等价物 / 流动负债</t>
  </si>
  <si>
    <t>超过100或者低于10都要注意(同时参考趋势)</t>
  </si>
  <si>
    <t>双低备选</t>
  </si>
  <si>
    <t>防守性</t>
  </si>
  <si>
    <t>进攻性</t>
  </si>
  <si>
    <t>财务状况</t>
  </si>
  <si>
    <t>持仓跟踪</t>
  </si>
  <si>
    <t>得分</t>
  </si>
  <si>
    <t>担保质押/控股人性质</t>
  </si>
  <si>
    <t>主营业务</t>
  </si>
  <si>
    <t>知名机构</t>
  </si>
  <si>
    <t>概念题材</t>
  </si>
  <si>
    <t>历史波动</t>
  </si>
  <si>
    <t>财报日期</t>
  </si>
  <si>
    <t>现金流量比率%</t>
  </si>
  <si>
    <t>现金比率%</t>
  </si>
  <si>
    <t>流动负债亿</t>
  </si>
  <si>
    <t>赎回日期</t>
  </si>
  <si>
    <t>临期情况</t>
  </si>
  <si>
    <t>下修情况</t>
  </si>
  <si>
    <t>现金管理</t>
  </si>
  <si>
    <t>灵康转债</t>
  </si>
  <si>
    <t>无/陶灵萍</t>
  </si>
  <si>
    <t>化学处方药</t>
  </si>
  <si>
    <t>新冠概念</t>
  </si>
  <si>
    <t>高管减持
更换会计事务所</t>
  </si>
  <si>
    <t>金轮转债</t>
  </si>
  <si>
    <t>无/浙江国资</t>
  </si>
  <si>
    <t>纺织梳理器机不锈钢装饰材料</t>
  </si>
  <si>
    <t>氢能</t>
  </si>
  <si>
    <t xml:space="preserve"> 2024-03-31</t>
  </si>
  <si>
    <t>足够还可转债</t>
  </si>
  <si>
    <t>结构存存款</t>
  </si>
  <si>
    <t>-1</t>
  </si>
  <si>
    <t>迪贝转债</t>
  </si>
  <si>
    <t>迪贝电气：无条件不可撤销连带责任保证担保/吴建荣</t>
  </si>
  <si>
    <t>压缩机密封电机和直流变频电机驱动控制器</t>
  </si>
  <si>
    <t>林园/丁碧霞</t>
  </si>
  <si>
    <t>热泵</t>
  </si>
  <si>
    <t xml:space="preserve"> 2024-06-30</t>
  </si>
  <si>
    <t>临期下修</t>
  </si>
  <si>
    <t>聚飞转债</t>
  </si>
  <si>
    <t>无/邢美正</t>
  </si>
  <si>
    <t>SMD和LED器件</t>
  </si>
  <si>
    <t>睿郡资产/丁碧霞</t>
  </si>
  <si>
    <t>MiniLED</t>
  </si>
  <si>
    <t>宏辉转债</t>
  </si>
  <si>
    <t>实控人：一般连带责任担保/郑幼文</t>
  </si>
  <si>
    <t>果蔬收购和冷链</t>
  </si>
  <si>
    <t>乡村振兴</t>
  </si>
  <si>
    <t>临期不下修</t>
  </si>
  <si>
    <t>正裕转债</t>
  </si>
  <si>
    <t>正裕投资：股票质押/郑连松</t>
  </si>
  <si>
    <t>汽车减震</t>
  </si>
  <si>
    <t>明汯投资/林园</t>
  </si>
  <si>
    <t>比亚迪</t>
  </si>
  <si>
    <t>汽模转2</t>
  </si>
  <si>
    <t>无/8名一致行动人</t>
  </si>
  <si>
    <t>汽车模具</t>
  </si>
  <si>
    <t>比亚迪特斯拉</t>
  </si>
  <si>
    <t>奥佳转债</t>
  </si>
  <si>
    <t>无/李五令</t>
  </si>
  <si>
    <t>按摩器具</t>
  </si>
  <si>
    <t>宁泉资产/睿郡资产</t>
  </si>
  <si>
    <t>血氧仪/按摩椅</t>
  </si>
  <si>
    <t>航新转债</t>
  </si>
  <si>
    <t>无/余厚曙</t>
  </si>
  <si>
    <t>航空机载设备</t>
  </si>
  <si>
    <t>航空/军工</t>
  </si>
  <si>
    <t>金陵转债</t>
  </si>
  <si>
    <t>无/李剑刚</t>
  </si>
  <si>
    <t>体育装备</t>
  </si>
  <si>
    <t>杭州亚运</t>
  </si>
  <si>
    <t>不够还可转债</t>
  </si>
  <si>
    <t>北陆转债</t>
  </si>
  <si>
    <t>无/王代雪</t>
  </si>
  <si>
    <t>对比剂精神类药物</t>
  </si>
  <si>
    <t>子公司独立上市</t>
  </si>
  <si>
    <t>万兴转债</t>
  </si>
  <si>
    <t>无/吴太兵</t>
  </si>
  <si>
    <t>消费类软件</t>
  </si>
  <si>
    <t>国产软件/AI</t>
  </si>
  <si>
    <t>华体转债</t>
  </si>
  <si>
    <t>实控人股份质押担保/梁熹</t>
  </si>
  <si>
    <t>城市照明</t>
  </si>
  <si>
    <t>林园</t>
  </si>
  <si>
    <t>智慧灯杆/充电</t>
  </si>
  <si>
    <t>高质押</t>
  </si>
  <si>
    <t>锋龙转债</t>
  </si>
  <si>
    <t>控股股东质押担保/董剑刚</t>
  </si>
  <si>
    <t>园林机械和汽车部件</t>
  </si>
  <si>
    <t>汽车部件</t>
  </si>
  <si>
    <t>朗科转债</t>
  </si>
  <si>
    <t>无/刘孝朋</t>
  </si>
  <si>
    <t>电子控制器</t>
  </si>
  <si>
    <t>电池包</t>
  </si>
  <si>
    <t>宝莱转债</t>
  </si>
  <si>
    <t>无/燕金元</t>
  </si>
  <si>
    <t>医疗监护仪</t>
  </si>
  <si>
    <t>血氧仪</t>
  </si>
  <si>
    <t xml:space="preserve"> 2025-06-30</t>
  </si>
  <si>
    <t>淳中转债</t>
  </si>
  <si>
    <t>实控人一般连带责任/何仕达</t>
  </si>
  <si>
    <t>显控设备</t>
  </si>
  <si>
    <t>芯片</t>
  </si>
  <si>
    <t>沪工转债</t>
  </si>
  <si>
    <t>不可撤销连带责任/舒宏瑞</t>
  </si>
  <si>
    <t>航天军工</t>
  </si>
  <si>
    <t>瑞丰转债</t>
  </si>
  <si>
    <t>无/周仕斌</t>
  </si>
  <si>
    <t>高性能PVC助剂</t>
  </si>
  <si>
    <t>可降解塑料</t>
  </si>
  <si>
    <t>纵横转债</t>
  </si>
  <si>
    <t>一般连带责任/苏维锋</t>
  </si>
  <si>
    <t>通信网络</t>
  </si>
  <si>
    <t>5G基站</t>
  </si>
  <si>
    <t>佳力转债</t>
  </si>
  <si>
    <t>质押担保/南京楷得投资</t>
  </si>
  <si>
    <t>机房建设</t>
  </si>
  <si>
    <t>数据中心</t>
  </si>
  <si>
    <t>应急转债</t>
  </si>
  <si>
    <t>无/中国船舶重工</t>
  </si>
  <si>
    <t>专用机械</t>
  </si>
  <si>
    <t>军工</t>
  </si>
  <si>
    <t>众兴转债</t>
  </si>
  <si>
    <t>无/陶军</t>
  </si>
  <si>
    <t>种植业</t>
  </si>
  <si>
    <t>业绩预增</t>
  </si>
  <si>
    <t>春秋转债</t>
  </si>
  <si>
    <t>质押担保</t>
  </si>
  <si>
    <t>消费电子模具</t>
  </si>
  <si>
    <t>特斯拉</t>
  </si>
  <si>
    <t>银微转债</t>
  </si>
  <si>
    <t>无</t>
  </si>
  <si>
    <t>半导体</t>
  </si>
  <si>
    <t>汽车半导体</t>
  </si>
  <si>
    <t>2028/7/4</t>
  </si>
  <si>
    <t>英力转债</t>
  </si>
  <si>
    <t>消费电子</t>
  </si>
  <si>
    <t>丰山转债</t>
  </si>
  <si>
    <t>抵押担保</t>
  </si>
  <si>
    <t>农药</t>
  </si>
  <si>
    <t>钠电池</t>
  </si>
  <si>
    <t>中陆转债</t>
  </si>
  <si>
    <t>风电</t>
  </si>
  <si>
    <t>海上风电</t>
  </si>
  <si>
    <t>瀛通转债</t>
  </si>
  <si>
    <t>耳机</t>
  </si>
  <si>
    <t>果链</t>
  </si>
  <si>
    <t>聚合转债</t>
  </si>
  <si>
    <t>锦纶</t>
  </si>
  <si>
    <t>尼龙6</t>
  </si>
  <si>
    <t>高负债</t>
  </si>
  <si>
    <t>法兰转债</t>
  </si>
  <si>
    <t>质押担保/陶峰华</t>
  </si>
  <si>
    <t>起重机</t>
  </si>
  <si>
    <t>换电</t>
  </si>
  <si>
    <t>银信转债</t>
  </si>
  <si>
    <t>詹立雄</t>
  </si>
  <si>
    <t>软件</t>
  </si>
  <si>
    <t>万讯转债</t>
  </si>
  <si>
    <t>智能仪表</t>
  </si>
  <si>
    <t>机器人</t>
  </si>
  <si>
    <t>胜蓝转债</t>
  </si>
  <si>
    <t>汽车射频</t>
  </si>
  <si>
    <t>润禾转债</t>
  </si>
  <si>
    <t>有机硅</t>
  </si>
  <si>
    <t>深加工</t>
  </si>
  <si>
    <t>联诚转债</t>
  </si>
  <si>
    <t>农机/工程机械</t>
  </si>
  <si>
    <t>威唐转债</t>
  </si>
  <si>
    <t>开润转债</t>
  </si>
  <si>
    <t>箱包</t>
  </si>
  <si>
    <t>小米</t>
  </si>
  <si>
    <t>明电转债</t>
  </si>
  <si>
    <t>印制电路</t>
  </si>
  <si>
    <t>光模块</t>
  </si>
  <si>
    <t>山石转债</t>
  </si>
  <si>
    <t>信息安全</t>
  </si>
  <si>
    <t>瑞科转债</t>
  </si>
  <si>
    <t>膜材料</t>
  </si>
  <si>
    <t>高性能PI膜</t>
  </si>
  <si>
    <t>宏微转债</t>
  </si>
  <si>
    <t>充电桩</t>
  </si>
  <si>
    <t>欧晶转债</t>
    <phoneticPr fontId="11" type="noConversion"/>
  </si>
  <si>
    <t>石英坩埚</t>
    <phoneticPr fontId="11" type="noConversion"/>
  </si>
  <si>
    <t xml:space="preserve"> 2026-3-31</t>
    <phoneticPr fontId="11" type="noConversion"/>
  </si>
  <si>
    <t>丝路转债</t>
    <phoneticPr fontId="11" type="noConversion"/>
  </si>
  <si>
    <t>数字创意</t>
    <phoneticPr fontId="11" type="noConversion"/>
  </si>
  <si>
    <t>李怡名</t>
    <phoneticPr fontId="11" type="noConversion"/>
  </si>
  <si>
    <t>李怡名</t>
    <phoneticPr fontId="11" type="noConversion"/>
  </si>
  <si>
    <t>芯海转债</t>
    <phoneticPr fontId="11" type="noConversion"/>
  </si>
  <si>
    <t>半导体</t>
    <phoneticPr fontId="11" type="noConversion"/>
  </si>
  <si>
    <t>汽车芯片</t>
    <phoneticPr fontId="11" type="noConversion"/>
  </si>
  <si>
    <t>共同转债</t>
    <phoneticPr fontId="11" type="noConversion"/>
  </si>
  <si>
    <t>医药</t>
    <phoneticPr fontId="11" type="noConversion"/>
  </si>
  <si>
    <t>辅助生殖</t>
    <phoneticPr fontId="11" type="noConversion"/>
  </si>
  <si>
    <t>裕兴转债</t>
    <phoneticPr fontId="11" type="noConversion"/>
  </si>
  <si>
    <t>薄膜</t>
    <phoneticPr fontId="11" type="noConversion"/>
  </si>
  <si>
    <t>MLCC</t>
    <phoneticPr fontId="11" type="noConversion"/>
  </si>
  <si>
    <t>洁特转债</t>
    <phoneticPr fontId="11" type="noConversion"/>
  </si>
  <si>
    <t>医疗耗材</t>
    <phoneticPr fontId="11" type="noConversion"/>
  </si>
  <si>
    <t>辅助生殖</t>
    <phoneticPr fontId="11" type="noConversion"/>
  </si>
  <si>
    <t>不够还可转债</t>
    <phoneticPr fontId="11" type="noConversion"/>
  </si>
  <si>
    <t>不够还可转债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</si>
</sst>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等线"/>
      <charset val="134"/>
      <scheme val="minor"/>
    </font>
    <font>
      <b/>
      <sz val="11"/>
      <color rgb="FF006100"/>
      <name val="Microsoft YaHei"/>
      <family val="2"/>
    </font>
    <font>
      <b/>
      <sz val="11"/>
      <color theme="1"/>
      <name val="Microsoft YaHei"/>
      <family val="2"/>
    </font>
    <font>
      <b/>
      <sz val="11"/>
      <color rgb="FF3F3F76"/>
      <name val="Microsoft YaHei"/>
      <family val="2"/>
    </font>
    <font>
      <b/>
      <sz val="10"/>
      <color rgb="FF3F3F3F"/>
      <name val="Microsoft YaHei"/>
      <family val="2"/>
    </font>
    <font>
      <b/>
      <sz val="11"/>
      <color rgb="FF3F3F76"/>
      <name val="等线"/>
      <scheme val="minor"/>
    </font>
    <font>
      <b/>
      <sz val="11"/>
      <color rgb="FF006100"/>
      <name val="等线"/>
      <scheme val="minor"/>
    </font>
    <font>
      <b/>
      <sz val="11"/>
      <color rgb="FF3F3F3F"/>
      <name val="等线"/>
      <scheme val="minor"/>
    </font>
    <font>
      <sz val="11"/>
      <color rgb="FF3F3F76"/>
      <name val="等线"/>
      <scheme val="minor"/>
    </font>
    <font>
      <sz val="11"/>
      <color rgb="FF006100"/>
      <name val="等线"/>
      <scheme val="minor"/>
    </font>
    <font>
      <sz val="11"/>
      <color theme="1"/>
      <name val="等线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6EEF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0" fillId="2" borderId="1" applyNumberFormat="0" applyFont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7" fillId="5" borderId="6" applyNumberFormat="0" applyAlignment="0" applyProtection="0">
      <alignment vertical="center"/>
    </xf>
    <xf numFmtId="0" fontId="9" fillId="10" borderId="0" applyNumberFormat="0" applyBorder="0" applyAlignment="0" applyProtection="0">
      <alignment vertical="center"/>
    </xf>
  </cellStyleXfs>
  <cellXfs count="55">
    <xf numFmtId="0" fontId="0" fillId="0" borderId="0" xfId="0"/>
    <xf numFmtId="0" fontId="0" fillId="0" borderId="0" xfId="0" applyFill="1"/>
    <xf numFmtId="0" fontId="3" fillId="3" borderId="2" xfId="2" applyFont="1" applyBorder="1" applyAlignment="1">
      <alignment horizontal="center" vertical="center" wrapText="1"/>
    </xf>
    <xf numFmtId="0" fontId="3" fillId="3" borderId="3" xfId="2" applyFont="1" applyBorder="1" applyAlignment="1">
      <alignment horizontal="center" vertical="center" wrapText="1"/>
    </xf>
    <xf numFmtId="0" fontId="3" fillId="3" borderId="4" xfId="2" applyFont="1" applyAlignment="1">
      <alignment horizontal="center" vertical="center" wrapText="1"/>
    </xf>
    <xf numFmtId="0" fontId="3" fillId="3" borderId="5" xfId="2" applyFont="1" applyBorder="1" applyAlignment="1">
      <alignment horizontal="center" vertical="center" wrapText="1"/>
    </xf>
    <xf numFmtId="0" fontId="4" fillId="4" borderId="6" xfId="3" applyFont="1" applyFill="1" applyAlignment="1">
      <alignment horizontal="center" vertical="center" wrapText="1"/>
    </xf>
    <xf numFmtId="0" fontId="4" fillId="5" borderId="6" xfId="3" applyFont="1" applyAlignment="1">
      <alignment horizontal="center" vertical="center" wrapText="1"/>
    </xf>
    <xf numFmtId="0" fontId="4" fillId="6" borderId="6" xfId="3" applyFont="1" applyFill="1" applyAlignment="1">
      <alignment horizontal="center" vertical="center" wrapText="1"/>
    </xf>
    <xf numFmtId="0" fontId="4" fillId="7" borderId="6" xfId="3" applyFont="1" applyFill="1" applyAlignment="1">
      <alignment horizontal="center" vertical="center" wrapText="1"/>
    </xf>
    <xf numFmtId="0" fontId="4" fillId="8" borderId="6" xfId="3" applyFont="1" applyFill="1" applyAlignment="1">
      <alignment horizontal="center" vertical="center" wrapText="1"/>
    </xf>
    <xf numFmtId="0" fontId="4" fillId="0" borderId="6" xfId="3" applyFont="1" applyFill="1" applyAlignment="1">
      <alignment horizontal="center" vertical="center" wrapText="1"/>
    </xf>
    <xf numFmtId="0" fontId="4" fillId="4" borderId="6" xfId="3" applyNumberFormat="1" applyFont="1" applyFill="1" applyBorder="1" applyAlignment="1" applyProtection="1">
      <alignment horizontal="center" vertical="center" wrapText="1"/>
    </xf>
    <xf numFmtId="0" fontId="4" fillId="4" borderId="0" xfId="3" applyNumberFormat="1" applyFont="1" applyFill="1" applyBorder="1" applyAlignment="1" applyProtection="1">
      <alignment horizontal="center" vertical="center" wrapText="1"/>
    </xf>
    <xf numFmtId="49" fontId="4" fillId="4" borderId="6" xfId="3" applyNumberFormat="1" applyFont="1" applyFill="1" applyAlignment="1">
      <alignment horizontal="center" vertical="center" wrapText="1"/>
    </xf>
    <xf numFmtId="14" fontId="4" fillId="4" borderId="6" xfId="3" applyNumberFormat="1" applyFont="1" applyFill="1" applyAlignment="1">
      <alignment horizontal="center" vertical="center" wrapText="1"/>
    </xf>
    <xf numFmtId="0" fontId="4" fillId="5" borderId="6" xfId="3" applyNumberFormat="1" applyFont="1" applyFill="1" applyBorder="1" applyAlignment="1" applyProtection="1">
      <alignment horizontal="center" vertical="center" wrapText="1"/>
    </xf>
    <xf numFmtId="0" fontId="4" fillId="5" borderId="0" xfId="3" applyNumberFormat="1" applyFont="1" applyFill="1" applyBorder="1" applyAlignment="1" applyProtection="1">
      <alignment horizontal="center" vertical="center" wrapText="1"/>
    </xf>
    <xf numFmtId="49" fontId="4" fillId="5" borderId="6" xfId="3" applyNumberFormat="1" applyFont="1" applyAlignment="1">
      <alignment horizontal="center" vertical="center" wrapText="1"/>
    </xf>
    <xf numFmtId="14" fontId="4" fillId="9" borderId="6" xfId="3" applyNumberFormat="1" applyFont="1" applyFill="1" applyAlignment="1">
      <alignment horizontal="center" vertical="center" wrapText="1"/>
    </xf>
    <xf numFmtId="0" fontId="4" fillId="6" borderId="6" xfId="3" applyNumberFormat="1" applyFont="1" applyFill="1" applyBorder="1" applyAlignment="1" applyProtection="1">
      <alignment horizontal="center" vertical="center" wrapText="1"/>
    </xf>
    <xf numFmtId="0" fontId="4" fillId="6" borderId="0" xfId="3" applyNumberFormat="1" applyFont="1" applyFill="1" applyBorder="1" applyAlignment="1" applyProtection="1">
      <alignment horizontal="center" vertical="center" wrapText="1"/>
    </xf>
    <xf numFmtId="49" fontId="4" fillId="6" borderId="6" xfId="3" applyNumberFormat="1" applyFont="1" applyFill="1" applyAlignment="1">
      <alignment horizontal="center" vertical="center" wrapText="1"/>
    </xf>
    <xf numFmtId="14" fontId="4" fillId="6" borderId="6" xfId="3" applyNumberFormat="1" applyFont="1" applyFill="1" applyAlignment="1">
      <alignment horizontal="center" vertical="center" wrapText="1"/>
    </xf>
    <xf numFmtId="49" fontId="4" fillId="7" borderId="6" xfId="3" applyNumberFormat="1" applyFont="1" applyFill="1" applyAlignment="1">
      <alignment horizontal="center" vertical="center" wrapText="1"/>
    </xf>
    <xf numFmtId="0" fontId="4" fillId="7" borderId="6" xfId="3" applyNumberFormat="1" applyFont="1" applyFill="1" applyAlignment="1">
      <alignment horizontal="center" vertical="center" wrapText="1"/>
    </xf>
    <xf numFmtId="0" fontId="4" fillId="6" borderId="6" xfId="3" applyNumberFormat="1" applyFont="1" applyFill="1" applyAlignment="1">
      <alignment horizontal="center" vertical="center" wrapText="1"/>
    </xf>
    <xf numFmtId="0" fontId="4" fillId="5" borderId="6" xfId="3" applyNumberFormat="1" applyFont="1" applyAlignment="1">
      <alignment horizontal="center" vertical="center" wrapText="1"/>
    </xf>
    <xf numFmtId="14" fontId="4" fillId="5" borderId="6" xfId="3" applyNumberFormat="1" applyFont="1" applyAlignment="1">
      <alignment horizontal="center" vertical="center" wrapText="1"/>
    </xf>
    <xf numFmtId="49" fontId="4" fillId="8" borderId="6" xfId="3" applyNumberFormat="1" applyFont="1" applyFill="1" applyAlignment="1">
      <alignment horizontal="center" vertical="center" wrapText="1"/>
    </xf>
    <xf numFmtId="14" fontId="4" fillId="8" borderId="6" xfId="3" applyNumberFormat="1" applyFont="1" applyFill="1" applyAlignment="1">
      <alignment horizontal="center" vertical="center" wrapText="1"/>
    </xf>
    <xf numFmtId="0" fontId="4" fillId="4" borderId="6" xfId="3" applyNumberFormat="1" applyFont="1" applyFill="1" applyAlignment="1">
      <alignment horizontal="center" vertical="center" wrapText="1"/>
    </xf>
    <xf numFmtId="0" fontId="4" fillId="5" borderId="6" xfId="3" applyFont="1" applyFill="1" applyAlignment="1">
      <alignment horizontal="center" vertical="center" wrapText="1"/>
    </xf>
    <xf numFmtId="49" fontId="4" fillId="5" borderId="6" xfId="3" applyNumberFormat="1" applyFont="1" applyFill="1" applyAlignment="1">
      <alignment horizontal="center" vertical="center" wrapText="1"/>
    </xf>
    <xf numFmtId="49" fontId="4" fillId="0" borderId="6" xfId="3" applyNumberFormat="1" applyFont="1" applyFill="1" applyAlignment="1">
      <alignment horizontal="center" vertical="center" wrapText="1"/>
    </xf>
    <xf numFmtId="14" fontId="4" fillId="0" borderId="6" xfId="3" applyNumberFormat="1" applyFont="1" applyFill="1" applyAlignment="1">
      <alignment horizontal="center" vertical="center" wrapText="1"/>
    </xf>
    <xf numFmtId="14" fontId="4" fillId="7" borderId="6" xfId="3" applyNumberFormat="1" applyFont="1" applyFill="1" applyAlignment="1">
      <alignment horizontal="center" vertical="center" wrapText="1"/>
    </xf>
    <xf numFmtId="0" fontId="5" fillId="3" borderId="4" xfId="2" applyFont="1" applyAlignment="1">
      <alignment horizontal="center"/>
    </xf>
    <xf numFmtId="0" fontId="6" fillId="10" borderId="0" xfId="4" applyFont="1" applyAlignment="1">
      <alignment horizontal="center"/>
    </xf>
    <xf numFmtId="0" fontId="7" fillId="5" borderId="6" xfId="3" applyAlignment="1"/>
    <xf numFmtId="0" fontId="7" fillId="5" borderId="6" xfId="3" applyAlignment="1">
      <alignment wrapText="1"/>
    </xf>
    <xf numFmtId="0" fontId="2" fillId="2" borderId="1" xfId="1" applyFont="1" applyAlignment="1">
      <alignment horizontal="center" vertical="center" wrapText="1"/>
    </xf>
    <xf numFmtId="0" fontId="2" fillId="2" borderId="1" xfId="1" applyFont="1" applyBorder="1" applyAlignment="1">
      <alignment horizontal="center" vertical="center" wrapText="1"/>
    </xf>
    <xf numFmtId="0" fontId="1" fillId="2" borderId="1" xfId="1" applyFont="1" applyAlignment="1">
      <alignment horizontal="center" vertical="center" wrapText="1"/>
    </xf>
    <xf numFmtId="0" fontId="4" fillId="4" borderId="6" xfId="3" applyFont="1" applyFill="1" applyAlignment="1">
      <alignment horizontal="center" vertical="center" wrapText="1"/>
    </xf>
    <xf numFmtId="0" fontId="4" fillId="5" borderId="6" xfId="3" applyFont="1" applyAlignment="1">
      <alignment horizontal="center" vertical="center" wrapText="1"/>
    </xf>
    <xf numFmtId="0" fontId="4" fillId="6" borderId="6" xfId="3" applyFont="1" applyFill="1" applyAlignment="1">
      <alignment horizontal="center" vertical="center" wrapText="1"/>
    </xf>
    <xf numFmtId="0" fontId="4" fillId="7" borderId="6" xfId="3" applyFont="1" applyFill="1" applyAlignment="1">
      <alignment horizontal="center" vertical="center" wrapText="1"/>
    </xf>
    <xf numFmtId="0" fontId="4" fillId="8" borderId="6" xfId="3" applyFont="1" applyFill="1" applyAlignment="1">
      <alignment horizontal="center" vertical="center" wrapText="1"/>
    </xf>
    <xf numFmtId="0" fontId="4" fillId="0" borderId="6" xfId="3" applyFont="1" applyFill="1" applyAlignment="1">
      <alignment horizontal="center" vertical="center" wrapText="1"/>
    </xf>
    <xf numFmtId="0" fontId="4" fillId="11" borderId="6" xfId="3" applyFont="1" applyFill="1" applyAlignment="1">
      <alignment horizontal="center" vertical="center" wrapText="1"/>
    </xf>
    <xf numFmtId="0" fontId="4" fillId="11" borderId="6" xfId="3" applyFont="1" applyFill="1" applyAlignment="1">
      <alignment horizontal="center" vertical="center" wrapText="1"/>
    </xf>
    <xf numFmtId="49" fontId="4" fillId="11" borderId="6" xfId="3" applyNumberFormat="1" applyFont="1" applyFill="1" applyAlignment="1">
      <alignment horizontal="center" vertical="center" wrapText="1"/>
    </xf>
    <xf numFmtId="14" fontId="4" fillId="11" borderId="6" xfId="3" applyNumberFormat="1" applyFont="1" applyFill="1" applyAlignment="1">
      <alignment horizontal="center" vertical="center" wrapText="1"/>
    </xf>
    <xf numFmtId="0" fontId="4" fillId="11" borderId="6" xfId="3" applyNumberFormat="1" applyFont="1" applyFill="1" applyAlignment="1">
      <alignment horizontal="center" vertical="center" wrapText="1"/>
    </xf>
  </cellXfs>
  <cellStyles count="5">
    <cellStyle name="常规" xfId="0" builtinId="0"/>
    <cellStyle name="好" xfId="4" builtinId="26"/>
    <cellStyle name="输出" xfId="3" builtinId="21"/>
    <cellStyle name="输入" xfId="2" builtinId="20"/>
    <cellStyle name="注释" xfId="1" builtinId="10"/>
  </cellStyles>
  <dxfs count="0"/>
  <tableStyles count="0" defaultTableStyle="TableStyleMedium2" defaultPivotStyle="PivotStyleLight16"/>
  <colors>
    <mruColors>
      <color rgb="FF96E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workbookViewId="0">
      <selection activeCell="B2" sqref="B2:B11"/>
    </sheetView>
  </sheetViews>
  <sheetFormatPr defaultColWidth="8.6640625" defaultRowHeight="14"/>
  <cols>
    <col min="1" max="1" width="49.4140625" customWidth="1"/>
    <col min="2" max="2" width="39.5" customWidth="1"/>
    <col min="3" max="3" width="37.25" customWidth="1"/>
  </cols>
  <sheetData>
    <row r="1" spans="1:3">
      <c r="A1" s="37" t="s">
        <v>0</v>
      </c>
      <c r="B1" s="37" t="s">
        <v>1</v>
      </c>
      <c r="C1" s="38" t="s">
        <v>2</v>
      </c>
    </row>
    <row r="2" spans="1:3">
      <c r="A2" s="39" t="s">
        <v>3</v>
      </c>
      <c r="B2" s="39" t="s">
        <v>4</v>
      </c>
      <c r="C2" s="39"/>
    </row>
    <row r="3" spans="1:3">
      <c r="A3" s="39" t="s">
        <v>5</v>
      </c>
      <c r="B3" s="39" t="s">
        <v>6</v>
      </c>
      <c r="C3" s="39"/>
    </row>
    <row r="4" spans="1:3">
      <c r="A4" s="39" t="s">
        <v>7</v>
      </c>
      <c r="B4" s="39" t="s">
        <v>8</v>
      </c>
      <c r="C4" s="39"/>
    </row>
    <row r="5" spans="1:3">
      <c r="A5" s="39" t="s">
        <v>9</v>
      </c>
      <c r="B5" s="39" t="s">
        <v>10</v>
      </c>
      <c r="C5" s="40" t="s">
        <v>11</v>
      </c>
    </row>
    <row r="6" spans="1:3">
      <c r="A6" s="39" t="s">
        <v>12</v>
      </c>
      <c r="B6" s="39" t="s">
        <v>13</v>
      </c>
      <c r="C6" s="39"/>
    </row>
    <row r="7" spans="1:3">
      <c r="A7" s="39" t="s">
        <v>14</v>
      </c>
      <c r="B7" s="39" t="s">
        <v>15</v>
      </c>
      <c r="C7" s="39"/>
    </row>
    <row r="8" spans="1:3">
      <c r="B8" s="39" t="s">
        <v>16</v>
      </c>
      <c r="C8" s="39"/>
    </row>
    <row r="9" spans="1:3">
      <c r="A9" s="39" t="s">
        <v>17</v>
      </c>
      <c r="B9" s="39" t="s">
        <v>18</v>
      </c>
      <c r="C9" s="39"/>
    </row>
    <row r="10" spans="1:3">
      <c r="A10" s="39" t="s">
        <v>19</v>
      </c>
      <c r="B10" s="39" t="s">
        <v>20</v>
      </c>
      <c r="C10" s="39"/>
    </row>
    <row r="11" spans="1:3">
      <c r="A11" s="39" t="s">
        <v>21</v>
      </c>
      <c r="B11" s="39" t="s">
        <v>22</v>
      </c>
      <c r="C11" s="39"/>
    </row>
    <row r="12" spans="1:3">
      <c r="A12" s="39" t="s">
        <v>23</v>
      </c>
      <c r="B12" s="39"/>
      <c r="C12" s="39"/>
    </row>
    <row r="13" spans="1:3">
      <c r="A13" s="39" t="s">
        <v>24</v>
      </c>
      <c r="B13" s="39"/>
      <c r="C13" s="39"/>
    </row>
    <row r="14" spans="1:3">
      <c r="A14" s="39"/>
      <c r="B14" s="39"/>
      <c r="C14" s="39"/>
    </row>
    <row r="16" spans="1:3">
      <c r="A16" s="37" t="s">
        <v>25</v>
      </c>
      <c r="B16" s="37" t="s">
        <v>26</v>
      </c>
      <c r="C16" s="38" t="s">
        <v>2</v>
      </c>
    </row>
    <row r="17" spans="1:3">
      <c r="A17" s="39" t="s">
        <v>27</v>
      </c>
      <c r="B17" s="39" t="s">
        <v>28</v>
      </c>
      <c r="C17" s="39" t="s">
        <v>29</v>
      </c>
    </row>
    <row r="18" spans="1:3">
      <c r="A18" s="40" t="s">
        <v>30</v>
      </c>
      <c r="B18" s="39" t="s">
        <v>28</v>
      </c>
      <c r="C18" s="39" t="s">
        <v>31</v>
      </c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8"/>
  <sheetViews>
    <sheetView tabSelected="1" topLeftCell="A86" zoomScale="55" zoomScaleNormal="55" workbookViewId="0">
      <selection activeCell="C98" sqref="C98"/>
    </sheetView>
  </sheetViews>
  <sheetFormatPr defaultColWidth="8.6640625" defaultRowHeight="14"/>
  <cols>
    <col min="1" max="1" width="9.33203125" customWidth="1"/>
    <col min="2" max="2" width="24.58203125" customWidth="1"/>
    <col min="3" max="3" width="22.5" customWidth="1"/>
    <col min="4" max="4" width="15.75" customWidth="1"/>
    <col min="5" max="5" width="17.4140625" customWidth="1"/>
    <col min="6" max="6" width="15.9140625" customWidth="1"/>
    <col min="7" max="7" width="11.33203125" customWidth="1"/>
    <col min="8" max="8" width="15.4140625" customWidth="1"/>
    <col min="9" max="10" width="13.9140625" customWidth="1"/>
    <col min="11" max="11" width="12.58203125" customWidth="1"/>
    <col min="12" max="13" width="17.1640625" customWidth="1"/>
    <col min="14" max="14" width="13.9140625" customWidth="1"/>
    <col min="15" max="15" width="12.58203125" customWidth="1"/>
    <col min="16" max="16" width="8.33203125" customWidth="1"/>
  </cols>
  <sheetData>
    <row r="1" spans="1:16" ht="22.5" customHeight="1">
      <c r="A1" s="43" t="s">
        <v>32</v>
      </c>
      <c r="B1" s="41" t="s">
        <v>33</v>
      </c>
      <c r="C1" s="41"/>
      <c r="D1" s="41"/>
      <c r="E1" s="41" t="s">
        <v>34</v>
      </c>
      <c r="F1" s="41"/>
      <c r="G1" s="42" t="s">
        <v>35</v>
      </c>
      <c r="H1" s="42"/>
      <c r="I1" s="42"/>
      <c r="J1" s="42"/>
      <c r="K1" s="42"/>
      <c r="L1" s="42" t="s">
        <v>36</v>
      </c>
      <c r="M1" s="42"/>
      <c r="N1" s="42"/>
      <c r="O1" s="42"/>
      <c r="P1" s="43" t="s">
        <v>37</v>
      </c>
    </row>
    <row r="2" spans="1:16" ht="22.5" customHeight="1">
      <c r="A2" s="43"/>
      <c r="B2" s="2" t="s">
        <v>38</v>
      </c>
      <c r="C2" s="3" t="s">
        <v>39</v>
      </c>
      <c r="D2" s="3" t="s">
        <v>40</v>
      </c>
      <c r="E2" s="4" t="s">
        <v>41</v>
      </c>
      <c r="F2" s="4" t="s">
        <v>42</v>
      </c>
      <c r="G2" s="4" t="s">
        <v>43</v>
      </c>
      <c r="H2" s="5" t="s">
        <v>44</v>
      </c>
      <c r="I2" s="5" t="s">
        <v>45</v>
      </c>
      <c r="J2" s="5" t="s">
        <v>46</v>
      </c>
      <c r="K2" s="5" t="s">
        <v>1</v>
      </c>
      <c r="L2" s="5" t="s">
        <v>47</v>
      </c>
      <c r="M2" s="5" t="s">
        <v>48</v>
      </c>
      <c r="N2" s="5" t="s">
        <v>49</v>
      </c>
      <c r="O2" s="5" t="s">
        <v>50</v>
      </c>
      <c r="P2" s="43"/>
    </row>
    <row r="3" spans="1:16" ht="36" customHeight="1">
      <c r="A3" s="44" t="s">
        <v>51</v>
      </c>
      <c r="B3" s="6" t="s">
        <v>52</v>
      </c>
      <c r="C3" s="6" t="s">
        <v>53</v>
      </c>
      <c r="D3" s="6"/>
      <c r="E3" s="6" t="s">
        <v>54</v>
      </c>
      <c r="F3" s="6">
        <v>3.07</v>
      </c>
      <c r="G3" s="6"/>
      <c r="H3" s="6"/>
      <c r="I3" s="12"/>
      <c r="J3" s="13"/>
      <c r="K3" s="14" t="s">
        <v>55</v>
      </c>
      <c r="L3" s="15"/>
      <c r="M3" s="6"/>
      <c r="N3" s="6"/>
      <c r="O3" s="14"/>
      <c r="P3" s="45">
        <f>SUM(B4:O4)</f>
        <v>2</v>
      </c>
    </row>
    <row r="4" spans="1:16" ht="36" customHeight="1">
      <c r="A4" s="44"/>
      <c r="B4" s="6">
        <v>0</v>
      </c>
      <c r="C4" s="6">
        <v>0</v>
      </c>
      <c r="D4" s="6">
        <v>0</v>
      </c>
      <c r="E4" s="6">
        <v>1</v>
      </c>
      <c r="F4" s="6">
        <v>3</v>
      </c>
      <c r="G4" s="6"/>
      <c r="H4" s="6"/>
      <c r="I4" s="6"/>
      <c r="J4" s="6"/>
      <c r="K4" s="14">
        <v>-2</v>
      </c>
      <c r="L4" s="6"/>
      <c r="M4" s="6"/>
      <c r="N4" s="6"/>
      <c r="O4" s="14"/>
      <c r="P4" s="45"/>
    </row>
    <row r="5" spans="1:16" ht="36" customHeight="1">
      <c r="A5" s="45" t="s">
        <v>56</v>
      </c>
      <c r="B5" s="7" t="s">
        <v>57</v>
      </c>
      <c r="C5" s="7" t="s">
        <v>58</v>
      </c>
      <c r="D5" s="7"/>
      <c r="E5" s="7" t="s">
        <v>59</v>
      </c>
      <c r="F5" s="7">
        <v>4.2</v>
      </c>
      <c r="G5" s="7" t="s">
        <v>60</v>
      </c>
      <c r="H5" s="7">
        <v>1.7206999999999999</v>
      </c>
      <c r="I5" s="16">
        <v>185.95150000000001</v>
      </c>
      <c r="J5" s="17">
        <v>4.8159999999999998</v>
      </c>
      <c r="K5" s="18" t="s">
        <v>61</v>
      </c>
      <c r="L5" s="19">
        <v>45944</v>
      </c>
      <c r="M5" s="7" t="e">
        <f ca="1">DATEDIF(TODAY(),L5,"y")&amp;"年"&amp;DATEDIF(TODAY(),L5,"ym")&amp;"月"</f>
        <v>#NUM!</v>
      </c>
      <c r="N5" s="7"/>
      <c r="O5" s="18" t="s">
        <v>62</v>
      </c>
      <c r="P5" s="45">
        <f>SUM(B6:O6)</f>
        <v>5</v>
      </c>
    </row>
    <row r="6" spans="1:16" ht="36" customHeight="1">
      <c r="A6" s="45"/>
      <c r="B6" s="7">
        <v>1</v>
      </c>
      <c r="C6" s="7">
        <v>0</v>
      </c>
      <c r="D6" s="7">
        <v>0</v>
      </c>
      <c r="E6" s="7">
        <v>1</v>
      </c>
      <c r="F6" s="7">
        <v>4</v>
      </c>
      <c r="G6" s="7"/>
      <c r="H6" s="7"/>
      <c r="I6" s="7"/>
      <c r="J6" s="7"/>
      <c r="K6" s="18" t="s">
        <v>63</v>
      </c>
      <c r="L6" s="7"/>
      <c r="M6" s="7"/>
      <c r="N6" s="7"/>
      <c r="O6" s="18">
        <v>-1</v>
      </c>
      <c r="P6" s="45"/>
    </row>
    <row r="7" spans="1:16" ht="36" customHeight="1">
      <c r="A7" s="46" t="s">
        <v>64</v>
      </c>
      <c r="B7" s="8" t="s">
        <v>65</v>
      </c>
      <c r="C7" s="8" t="s">
        <v>66</v>
      </c>
      <c r="D7" s="8" t="s">
        <v>67</v>
      </c>
      <c r="E7" s="8" t="s">
        <v>68</v>
      </c>
      <c r="F7" s="8">
        <v>3.33</v>
      </c>
      <c r="G7" s="8" t="s">
        <v>69</v>
      </c>
      <c r="H7" s="8">
        <v>24.4359</v>
      </c>
      <c r="I7" s="20">
        <v>39.581899999999997</v>
      </c>
      <c r="J7" s="21">
        <v>2.37</v>
      </c>
      <c r="K7" s="22"/>
      <c r="L7" s="23">
        <v>45953</v>
      </c>
      <c r="M7" s="8" t="e">
        <f ca="1">DATEDIF(TODAY(),L7,"y")&amp;"年"&amp;DATEDIF(TODAY(),L7,"ym")&amp;"月"</f>
        <v>#NUM!</v>
      </c>
      <c r="N7" s="8" t="s">
        <v>70</v>
      </c>
      <c r="O7" s="22"/>
      <c r="P7" s="45">
        <f>SUM(B8:O8)</f>
        <v>7</v>
      </c>
    </row>
    <row r="8" spans="1:16" ht="36" customHeight="1">
      <c r="A8" s="46"/>
      <c r="B8" s="8">
        <v>1</v>
      </c>
      <c r="C8" s="8">
        <v>0</v>
      </c>
      <c r="D8" s="8">
        <v>1</v>
      </c>
      <c r="E8" s="8">
        <v>1</v>
      </c>
      <c r="F8" s="8">
        <v>3</v>
      </c>
      <c r="G8" s="8"/>
      <c r="H8" s="8"/>
      <c r="I8" s="8"/>
      <c r="J8" s="8"/>
      <c r="K8" s="22"/>
      <c r="L8" s="8"/>
      <c r="M8" s="8"/>
      <c r="N8" s="8">
        <v>1</v>
      </c>
      <c r="O8" s="22"/>
      <c r="P8" s="45"/>
    </row>
    <row r="9" spans="1:16" ht="22.5" customHeight="1">
      <c r="A9" s="47" t="s">
        <v>71</v>
      </c>
      <c r="B9" s="9" t="s">
        <v>72</v>
      </c>
      <c r="C9" s="9" t="s">
        <v>73</v>
      </c>
      <c r="D9" s="9" t="s">
        <v>74</v>
      </c>
      <c r="E9" s="9" t="s">
        <v>75</v>
      </c>
      <c r="F9" s="9">
        <v>3.5</v>
      </c>
      <c r="G9" s="9"/>
      <c r="H9" s="9"/>
      <c r="I9" s="9"/>
      <c r="J9" s="9"/>
      <c r="K9" s="24"/>
      <c r="L9" s="9"/>
      <c r="M9" s="9"/>
      <c r="N9" s="9"/>
      <c r="O9" s="24"/>
      <c r="P9" s="45">
        <f>SUM(B10:O10)</f>
        <v>5</v>
      </c>
    </row>
    <row r="10" spans="1:16" ht="38" customHeight="1">
      <c r="A10" s="47"/>
      <c r="B10" s="9">
        <v>0</v>
      </c>
      <c r="C10" s="9">
        <v>0</v>
      </c>
      <c r="D10" s="9">
        <v>1</v>
      </c>
      <c r="E10" s="9">
        <v>1</v>
      </c>
      <c r="F10" s="9">
        <v>3</v>
      </c>
      <c r="G10" s="9"/>
      <c r="H10" s="9"/>
      <c r="I10" s="9"/>
      <c r="J10" s="9"/>
      <c r="K10" s="24"/>
      <c r="L10" s="9"/>
      <c r="M10" s="9"/>
      <c r="N10" s="9"/>
      <c r="O10" s="24"/>
      <c r="P10" s="45"/>
    </row>
    <row r="11" spans="1:16" ht="36" customHeight="1">
      <c r="A11" s="44" t="s">
        <v>76</v>
      </c>
      <c r="B11" s="6" t="s">
        <v>77</v>
      </c>
      <c r="C11" s="6" t="s">
        <v>78</v>
      </c>
      <c r="D11" s="6"/>
      <c r="E11" s="6" t="s">
        <v>79</v>
      </c>
      <c r="F11" s="6">
        <v>2.9</v>
      </c>
      <c r="G11" s="6" t="s">
        <v>60</v>
      </c>
      <c r="H11" s="6">
        <v>-2.5072000000000001</v>
      </c>
      <c r="I11" s="12">
        <v>8.1393000000000004</v>
      </c>
      <c r="J11" s="13">
        <v>4.5220000000000002</v>
      </c>
      <c r="K11" s="14"/>
      <c r="L11" s="15">
        <v>46059</v>
      </c>
      <c r="M11" s="6" t="e">
        <f ca="1">DATEDIF(TODAY(),L11,"y")&amp;"年"&amp;DATEDIF(TODAY(),L11,"ym")&amp;"月"</f>
        <v>#NUM!</v>
      </c>
      <c r="N11" s="6" t="s">
        <v>80</v>
      </c>
      <c r="O11" s="14"/>
      <c r="P11" s="45">
        <f>SUM(B12:O12)</f>
        <v>2</v>
      </c>
    </row>
    <row r="12" spans="1:16" ht="36" customHeight="1">
      <c r="A12" s="44"/>
      <c r="B12" s="6">
        <v>1</v>
      </c>
      <c r="C12" s="6">
        <v>0</v>
      </c>
      <c r="D12" s="6">
        <v>0</v>
      </c>
      <c r="E12" s="6">
        <v>1</v>
      </c>
      <c r="F12" s="6">
        <v>2</v>
      </c>
      <c r="G12" s="6"/>
      <c r="H12" s="6"/>
      <c r="I12" s="6">
        <v>-1</v>
      </c>
      <c r="J12" s="6"/>
      <c r="K12" s="14"/>
      <c r="L12" s="6"/>
      <c r="M12" s="6"/>
      <c r="N12" s="6">
        <v>-1</v>
      </c>
      <c r="O12" s="14"/>
      <c r="P12" s="45"/>
    </row>
    <row r="13" spans="1:16" ht="22.5" customHeight="1">
      <c r="A13" s="47" t="s">
        <v>81</v>
      </c>
      <c r="B13" s="9" t="s">
        <v>82</v>
      </c>
      <c r="C13" s="9" t="s">
        <v>83</v>
      </c>
      <c r="D13" s="9" t="s">
        <v>84</v>
      </c>
      <c r="E13" s="9" t="s">
        <v>85</v>
      </c>
      <c r="F13" s="9">
        <v>3.9</v>
      </c>
      <c r="G13" s="9"/>
      <c r="H13" s="9"/>
      <c r="I13" s="9"/>
      <c r="J13" s="9"/>
      <c r="K13" s="24"/>
      <c r="L13" s="9"/>
      <c r="M13" s="9"/>
      <c r="N13" s="9"/>
      <c r="O13" s="24"/>
      <c r="P13" s="45">
        <f>SUM(B14:O14)</f>
        <v>6</v>
      </c>
    </row>
    <row r="14" spans="1:16" ht="38" customHeight="1">
      <c r="A14" s="47"/>
      <c r="B14" s="9">
        <v>1</v>
      </c>
      <c r="C14" s="9">
        <v>0</v>
      </c>
      <c r="D14" s="9">
        <v>1</v>
      </c>
      <c r="E14" s="9">
        <v>1</v>
      </c>
      <c r="F14" s="9">
        <v>3</v>
      </c>
      <c r="G14" s="9"/>
      <c r="H14" s="9"/>
      <c r="I14" s="25"/>
      <c r="J14" s="25"/>
      <c r="K14" s="24"/>
      <c r="L14" s="9"/>
      <c r="M14" s="9"/>
      <c r="N14" s="25"/>
      <c r="O14" s="24"/>
      <c r="P14" s="45"/>
    </row>
    <row r="15" spans="1:16" ht="22.5" customHeight="1">
      <c r="A15" s="46" t="s">
        <v>86</v>
      </c>
      <c r="B15" s="8" t="s">
        <v>87</v>
      </c>
      <c r="C15" s="8" t="s">
        <v>88</v>
      </c>
      <c r="D15" s="8" t="s">
        <v>9</v>
      </c>
      <c r="E15" s="8" t="s">
        <v>89</v>
      </c>
      <c r="F15" s="8">
        <v>2.4</v>
      </c>
      <c r="G15" s="8" t="s">
        <v>69</v>
      </c>
      <c r="H15" s="8">
        <v>6.1553000000000004</v>
      </c>
      <c r="I15" s="8">
        <v>30.6692</v>
      </c>
      <c r="J15" s="8">
        <v>28.303000000000001</v>
      </c>
      <c r="K15" s="22"/>
      <c r="L15" s="23">
        <v>46018</v>
      </c>
      <c r="M15" s="8" t="e">
        <f ca="1">DATEDIF(TODAY(),L15,"y")&amp;"年"&amp;DATEDIF(TODAY(),L15,"ym")&amp;"月"</f>
        <v>#NUM!</v>
      </c>
      <c r="N15" s="8"/>
      <c r="O15" s="22"/>
      <c r="P15" s="45">
        <f>SUM(B16:O16)</f>
        <v>4</v>
      </c>
    </row>
    <row r="16" spans="1:16" ht="38" customHeight="1">
      <c r="A16" s="46"/>
      <c r="B16" s="8">
        <v>0</v>
      </c>
      <c r="C16" s="8">
        <v>0</v>
      </c>
      <c r="D16" s="8">
        <v>1</v>
      </c>
      <c r="E16" s="8">
        <v>1</v>
      </c>
      <c r="F16" s="8">
        <v>2</v>
      </c>
      <c r="G16" s="8"/>
      <c r="H16" s="8"/>
      <c r="I16" s="22"/>
      <c r="J16" s="22"/>
      <c r="K16" s="22"/>
      <c r="L16" s="8"/>
      <c r="M16" s="8"/>
      <c r="N16" s="8"/>
      <c r="O16" s="26"/>
      <c r="P16" s="45"/>
    </row>
    <row r="17" spans="1:16" ht="22.5" customHeight="1">
      <c r="A17" s="44" t="s">
        <v>90</v>
      </c>
      <c r="B17" s="6" t="s">
        <v>91</v>
      </c>
      <c r="C17" s="6" t="s">
        <v>92</v>
      </c>
      <c r="D17" s="6" t="s">
        <v>93</v>
      </c>
      <c r="E17" s="6" t="s">
        <v>94</v>
      </c>
      <c r="F17" s="6">
        <v>2.9</v>
      </c>
      <c r="G17" s="6"/>
      <c r="H17" s="6"/>
      <c r="I17" s="12"/>
      <c r="J17" s="13"/>
      <c r="K17" s="14"/>
      <c r="L17" s="15"/>
      <c r="M17" s="6"/>
      <c r="N17" s="6"/>
      <c r="O17" s="14"/>
      <c r="P17" s="45">
        <f>SUM(B18:O18)</f>
        <v>4</v>
      </c>
    </row>
    <row r="18" spans="1:16" ht="38" customHeight="1">
      <c r="A18" s="44"/>
      <c r="B18" s="6">
        <v>0</v>
      </c>
      <c r="C18" s="6">
        <v>0</v>
      </c>
      <c r="D18" s="6">
        <v>1</v>
      </c>
      <c r="E18" s="6">
        <v>1</v>
      </c>
      <c r="F18" s="6">
        <v>2</v>
      </c>
      <c r="G18" s="6"/>
      <c r="H18" s="6"/>
      <c r="I18" s="6"/>
      <c r="J18" s="6"/>
      <c r="K18" s="14"/>
      <c r="L18" s="6"/>
      <c r="M18" s="6"/>
      <c r="N18" s="6"/>
      <c r="O18" s="14"/>
      <c r="P18" s="45"/>
    </row>
    <row r="19" spans="1:16" ht="22.5" customHeight="1">
      <c r="A19" s="46" t="s">
        <v>95</v>
      </c>
      <c r="B19" s="8" t="s">
        <v>96</v>
      </c>
      <c r="C19" s="8" t="s">
        <v>97</v>
      </c>
      <c r="D19" s="8" t="s">
        <v>19</v>
      </c>
      <c r="E19" s="8" t="s">
        <v>98</v>
      </c>
      <c r="F19" s="8">
        <v>2.8</v>
      </c>
      <c r="G19" s="8" t="s">
        <v>69</v>
      </c>
      <c r="H19" s="8">
        <v>-0.39200000000000002</v>
      </c>
      <c r="I19" s="8">
        <v>23.9756</v>
      </c>
      <c r="J19" s="8">
        <v>10.093</v>
      </c>
      <c r="K19" s="22"/>
      <c r="L19" s="23">
        <v>46225</v>
      </c>
      <c r="M19" s="8" t="str">
        <f t="shared" ref="M19:M23" ca="1" si="0">DATEDIF(TODAY(),L19,"y")&amp;"年"&amp;DATEDIF(TODAY(),L19,"ym")&amp;"月"</f>
        <v>0年0月</v>
      </c>
      <c r="N19" s="8"/>
      <c r="O19" s="22"/>
      <c r="P19" s="45">
        <f>SUM(B20:O20)</f>
        <v>4</v>
      </c>
    </row>
    <row r="20" spans="1:16" ht="38" customHeight="1">
      <c r="A20" s="46"/>
      <c r="B20" s="8">
        <v>0</v>
      </c>
      <c r="C20" s="8">
        <v>0</v>
      </c>
      <c r="D20" s="8">
        <v>1</v>
      </c>
      <c r="E20" s="8">
        <v>1</v>
      </c>
      <c r="F20" s="8">
        <v>2</v>
      </c>
      <c r="G20" s="8"/>
      <c r="H20" s="8"/>
      <c r="I20" s="22"/>
      <c r="J20" s="22"/>
      <c r="K20" s="22"/>
      <c r="L20" s="8"/>
      <c r="M20" s="8"/>
      <c r="N20" s="22"/>
      <c r="O20" s="22"/>
      <c r="P20" s="45"/>
    </row>
    <row r="21" spans="1:16" ht="37" customHeight="1">
      <c r="A21" s="46" t="s">
        <v>99</v>
      </c>
      <c r="B21" s="8" t="s">
        <v>100</v>
      </c>
      <c r="C21" s="8" t="s">
        <v>101</v>
      </c>
      <c r="D21" s="8" t="s">
        <v>9</v>
      </c>
      <c r="E21" s="8" t="s">
        <v>102</v>
      </c>
      <c r="F21" s="8">
        <v>6.08</v>
      </c>
      <c r="G21" s="8" t="s">
        <v>69</v>
      </c>
      <c r="H21" s="8">
        <v>-6.5849000000000002</v>
      </c>
      <c r="I21" s="8">
        <v>95.622100000000003</v>
      </c>
      <c r="J21" s="8">
        <v>1.9990000000000001</v>
      </c>
      <c r="K21" s="22" t="s">
        <v>233</v>
      </c>
      <c r="L21" s="23">
        <v>46406</v>
      </c>
      <c r="M21" s="8" t="str">
        <f t="shared" ca="1" si="0"/>
        <v>0年6月</v>
      </c>
      <c r="N21" s="8"/>
      <c r="O21" s="22"/>
      <c r="P21" s="45">
        <f>SUM(B22:O22)</f>
        <v>8</v>
      </c>
    </row>
    <row r="22" spans="1:16" ht="42" customHeight="1">
      <c r="A22" s="46"/>
      <c r="B22" s="8">
        <v>0</v>
      </c>
      <c r="C22" s="8">
        <v>0</v>
      </c>
      <c r="D22" s="8">
        <v>1</v>
      </c>
      <c r="E22" s="8">
        <v>1</v>
      </c>
      <c r="F22" s="8">
        <v>6</v>
      </c>
      <c r="G22" s="8"/>
      <c r="H22" s="8"/>
      <c r="I22" s="22"/>
      <c r="J22" s="22"/>
      <c r="K22" s="22"/>
      <c r="L22" s="8"/>
      <c r="M22" s="8"/>
      <c r="N22" s="22"/>
      <c r="O22" s="22"/>
      <c r="P22" s="45"/>
    </row>
    <row r="23" spans="1:16" ht="28" customHeight="1">
      <c r="A23" s="46" t="s">
        <v>104</v>
      </c>
      <c r="B23" s="8" t="s">
        <v>105</v>
      </c>
      <c r="C23" s="8" t="s">
        <v>106</v>
      </c>
      <c r="D23" s="8" t="s">
        <v>5</v>
      </c>
      <c r="E23" s="8" t="s">
        <v>107</v>
      </c>
      <c r="F23" s="8">
        <v>5.16</v>
      </c>
      <c r="G23" s="8" t="s">
        <v>69</v>
      </c>
      <c r="H23" s="8">
        <v>24.220700000000001</v>
      </c>
      <c r="I23" s="8">
        <v>93.561199999999999</v>
      </c>
      <c r="J23" s="8">
        <v>5.0599999999999996</v>
      </c>
      <c r="K23" s="22" t="s">
        <v>103</v>
      </c>
      <c r="L23" s="23">
        <v>46363</v>
      </c>
      <c r="M23" s="8" t="str">
        <f t="shared" ca="1" si="0"/>
        <v>0年4月</v>
      </c>
      <c r="N23" s="8"/>
      <c r="O23" s="22"/>
      <c r="P23" s="45">
        <f>SUM(B24:O24)</f>
        <v>7</v>
      </c>
    </row>
    <row r="24" spans="1:16" ht="38" customHeight="1">
      <c r="A24" s="46"/>
      <c r="B24" s="8">
        <v>0</v>
      </c>
      <c r="C24" s="8">
        <v>0</v>
      </c>
      <c r="D24" s="8">
        <v>1</v>
      </c>
      <c r="E24" s="8">
        <v>1</v>
      </c>
      <c r="F24" s="8">
        <v>5</v>
      </c>
      <c r="G24" s="8"/>
      <c r="H24" s="8"/>
      <c r="I24" s="22"/>
      <c r="J24" s="22"/>
      <c r="K24" s="22"/>
      <c r="L24" s="8"/>
      <c r="M24" s="8"/>
      <c r="N24" s="22"/>
      <c r="O24" s="22"/>
      <c r="P24" s="45"/>
    </row>
    <row r="25" spans="1:16" ht="36" customHeight="1">
      <c r="A25" s="46" t="s">
        <v>108</v>
      </c>
      <c r="B25" s="8" t="s">
        <v>109</v>
      </c>
      <c r="C25" s="8" t="s">
        <v>110</v>
      </c>
      <c r="D25" s="8"/>
      <c r="E25" s="8" t="s">
        <v>111</v>
      </c>
      <c r="F25" s="8">
        <v>6.2</v>
      </c>
      <c r="G25" s="8"/>
      <c r="H25" s="8"/>
      <c r="I25" s="8"/>
      <c r="J25" s="8"/>
      <c r="K25" s="22"/>
      <c r="L25" s="8"/>
      <c r="M25" s="8"/>
      <c r="N25" s="8"/>
      <c r="O25" s="22"/>
      <c r="P25" s="45">
        <f>SUM(B26:O26)</f>
        <v>7</v>
      </c>
    </row>
    <row r="26" spans="1:16" ht="38" customHeight="1">
      <c r="A26" s="46"/>
      <c r="B26" s="8">
        <v>0</v>
      </c>
      <c r="C26" s="8">
        <v>0</v>
      </c>
      <c r="D26" s="8">
        <v>0</v>
      </c>
      <c r="E26" s="8">
        <v>1</v>
      </c>
      <c r="F26" s="8">
        <v>6</v>
      </c>
      <c r="G26" s="8"/>
      <c r="H26" s="8"/>
      <c r="I26" s="22"/>
      <c r="J26" s="22"/>
      <c r="K26" s="22"/>
      <c r="L26" s="8"/>
      <c r="M26" s="8"/>
      <c r="N26" s="22"/>
      <c r="O26" s="22"/>
      <c r="P26" s="45"/>
    </row>
    <row r="27" spans="1:16" ht="36" customHeight="1">
      <c r="A27" s="45" t="s">
        <v>112</v>
      </c>
      <c r="B27" s="7" t="s">
        <v>113</v>
      </c>
      <c r="C27" s="7" t="s">
        <v>114</v>
      </c>
      <c r="D27" s="7" t="s">
        <v>115</v>
      </c>
      <c r="E27" s="7" t="s">
        <v>116</v>
      </c>
      <c r="F27" s="7">
        <v>5.08</v>
      </c>
      <c r="G27" s="7"/>
      <c r="H27" s="7"/>
      <c r="I27" s="7"/>
      <c r="J27" s="7"/>
      <c r="K27" s="18" t="s">
        <v>117</v>
      </c>
      <c r="L27" s="7"/>
      <c r="M27" s="9"/>
      <c r="N27" s="7"/>
      <c r="O27" s="18"/>
      <c r="P27" s="45">
        <f>SUM(B28:O28)</f>
        <v>7</v>
      </c>
    </row>
    <row r="28" spans="1:16" ht="38" customHeight="1">
      <c r="A28" s="45"/>
      <c r="B28" s="7">
        <v>1</v>
      </c>
      <c r="C28" s="7">
        <v>0</v>
      </c>
      <c r="D28" s="7">
        <v>1</v>
      </c>
      <c r="E28" s="7">
        <v>1</v>
      </c>
      <c r="F28" s="7">
        <v>5</v>
      </c>
      <c r="G28" s="7"/>
      <c r="H28" s="7"/>
      <c r="I28" s="18"/>
      <c r="J28" s="18"/>
      <c r="K28" s="27">
        <v>-1</v>
      </c>
      <c r="L28" s="7"/>
      <c r="M28" s="9"/>
      <c r="N28" s="18"/>
      <c r="O28" s="27"/>
      <c r="P28" s="45"/>
    </row>
    <row r="29" spans="1:16" s="1" customFormat="1" ht="36" customHeight="1">
      <c r="A29" s="46" t="s">
        <v>118</v>
      </c>
      <c r="B29" s="8" t="s">
        <v>119</v>
      </c>
      <c r="C29" s="8" t="s">
        <v>120</v>
      </c>
      <c r="D29" s="8"/>
      <c r="E29" s="8" t="s">
        <v>121</v>
      </c>
      <c r="F29" s="8">
        <v>5.0599999999999996</v>
      </c>
      <c r="G29" s="8" t="s">
        <v>69</v>
      </c>
      <c r="H29" s="8">
        <v>3.9695</v>
      </c>
      <c r="I29" s="8">
        <v>65.691299999999998</v>
      </c>
      <c r="J29" s="8">
        <v>1.9770000000000001</v>
      </c>
      <c r="K29" s="22" t="s">
        <v>103</v>
      </c>
      <c r="L29" s="23">
        <v>46395</v>
      </c>
      <c r="M29" s="8" t="str">
        <f t="shared" ref="M29:M33" ca="1" si="1">DATEDIF(TODAY(),L29,"y")&amp;"年"&amp;DATEDIF(TODAY(),L29,"ym")&amp;"月"</f>
        <v>0年5月</v>
      </c>
      <c r="N29" s="8"/>
      <c r="O29" s="22"/>
      <c r="P29" s="49">
        <f>SUM(B30:O30)</f>
        <v>7</v>
      </c>
    </row>
    <row r="30" spans="1:16" s="1" customFormat="1" ht="38" customHeight="1">
      <c r="A30" s="46"/>
      <c r="B30" s="8">
        <v>1</v>
      </c>
      <c r="C30" s="8">
        <v>0</v>
      </c>
      <c r="D30" s="8"/>
      <c r="E30" s="8">
        <v>1</v>
      </c>
      <c r="F30" s="8">
        <v>5</v>
      </c>
      <c r="G30" s="8"/>
      <c r="H30" s="8"/>
      <c r="I30" s="22"/>
      <c r="J30" s="22"/>
      <c r="K30" s="26"/>
      <c r="L30" s="8"/>
      <c r="M30" s="8"/>
      <c r="N30" s="22"/>
      <c r="O30" s="26"/>
      <c r="P30" s="49"/>
    </row>
    <row r="31" spans="1:16" ht="36" customHeight="1">
      <c r="A31" s="45" t="s">
        <v>122</v>
      </c>
      <c r="B31" s="7" t="s">
        <v>123</v>
      </c>
      <c r="C31" s="7" t="s">
        <v>124</v>
      </c>
      <c r="D31" s="7" t="s">
        <v>5</v>
      </c>
      <c r="E31" s="7" t="s">
        <v>125</v>
      </c>
      <c r="F31" s="7">
        <v>4.2300000000000004</v>
      </c>
      <c r="G31" s="7" t="s">
        <v>60</v>
      </c>
      <c r="H31" s="7">
        <v>-9.5602</v>
      </c>
      <c r="I31" s="7">
        <v>99.075900000000004</v>
      </c>
      <c r="J31" s="7">
        <v>5.2370000000000001</v>
      </c>
      <c r="K31" s="18"/>
      <c r="L31" s="28">
        <v>46427</v>
      </c>
      <c r="M31" s="7" t="str">
        <f t="shared" ca="1" si="1"/>
        <v>0年6月</v>
      </c>
      <c r="N31" s="7"/>
      <c r="O31" s="18"/>
      <c r="P31" s="45">
        <f>SUM(B32:O32)</f>
        <v>6</v>
      </c>
    </row>
    <row r="32" spans="1:16" ht="38" customHeight="1">
      <c r="A32" s="45"/>
      <c r="B32" s="7">
        <v>0</v>
      </c>
      <c r="C32" s="7">
        <v>0</v>
      </c>
      <c r="D32" s="7">
        <v>1</v>
      </c>
      <c r="E32" s="7">
        <v>1</v>
      </c>
      <c r="F32" s="7">
        <v>4</v>
      </c>
      <c r="G32" s="7"/>
      <c r="H32" s="7"/>
      <c r="I32" s="18"/>
      <c r="J32" s="18"/>
      <c r="K32" s="27"/>
      <c r="L32" s="7"/>
      <c r="M32" s="7"/>
      <c r="N32" s="18"/>
      <c r="O32" s="27"/>
      <c r="P32" s="45"/>
    </row>
    <row r="33" spans="1:16" s="1" customFormat="1" ht="36" customHeight="1">
      <c r="A33" s="50" t="s">
        <v>126</v>
      </c>
      <c r="B33" s="51" t="s">
        <v>127</v>
      </c>
      <c r="C33" s="51" t="s">
        <v>128</v>
      </c>
      <c r="D33" s="51" t="s">
        <v>115</v>
      </c>
      <c r="E33" s="51" t="s">
        <v>129</v>
      </c>
      <c r="F33" s="51">
        <v>3.8</v>
      </c>
      <c r="G33" s="51" t="s">
        <v>130</v>
      </c>
      <c r="H33" s="51">
        <v>-4.5781000000000001</v>
      </c>
      <c r="I33" s="51">
        <v>107.54040000000001</v>
      </c>
      <c r="J33" s="51">
        <v>5.4050000000000002</v>
      </c>
      <c r="K33" s="52"/>
      <c r="L33" s="53">
        <v>46269</v>
      </c>
      <c r="M33" s="51" t="str">
        <f t="shared" ca="1" si="1"/>
        <v>0年1月</v>
      </c>
      <c r="N33" s="51"/>
      <c r="O33" s="52"/>
      <c r="P33" s="49">
        <f>SUM(B34:O34)</f>
        <v>5</v>
      </c>
    </row>
    <row r="34" spans="1:16" s="1" customFormat="1" ht="38" customHeight="1">
      <c r="A34" s="50"/>
      <c r="B34" s="51">
        <v>0</v>
      </c>
      <c r="C34" s="51">
        <v>0</v>
      </c>
      <c r="D34" s="51">
        <v>1</v>
      </c>
      <c r="E34" s="51">
        <v>1</v>
      </c>
      <c r="F34" s="51">
        <v>3</v>
      </c>
      <c r="G34" s="51"/>
      <c r="H34" s="51"/>
      <c r="I34" s="52"/>
      <c r="J34" s="52"/>
      <c r="K34" s="54"/>
      <c r="L34" s="51"/>
      <c r="M34" s="51"/>
      <c r="N34" s="52"/>
      <c r="O34" s="54"/>
      <c r="P34" s="49"/>
    </row>
    <row r="35" spans="1:16" ht="36" customHeight="1">
      <c r="A35" s="46" t="s">
        <v>131</v>
      </c>
      <c r="B35" s="8" t="s">
        <v>132</v>
      </c>
      <c r="C35" s="8" t="s">
        <v>133</v>
      </c>
      <c r="D35" s="8" t="s">
        <v>17</v>
      </c>
      <c r="E35" s="8" t="s">
        <v>134</v>
      </c>
      <c r="F35" s="8">
        <v>3.6</v>
      </c>
      <c r="G35" s="8"/>
      <c r="H35" s="8"/>
      <c r="I35" s="8"/>
      <c r="J35" s="8"/>
      <c r="K35" s="22"/>
      <c r="L35" s="8"/>
      <c r="M35" s="8"/>
      <c r="N35" s="8"/>
      <c r="O35" s="22"/>
      <c r="P35" s="45">
        <f>SUM(B36:O36)</f>
        <v>6</v>
      </c>
    </row>
    <row r="36" spans="1:16" ht="38" customHeight="1">
      <c r="A36" s="46"/>
      <c r="B36" s="8">
        <v>1</v>
      </c>
      <c r="C36" s="8">
        <v>0</v>
      </c>
      <c r="D36" s="8">
        <v>1</v>
      </c>
      <c r="E36" s="8">
        <v>1</v>
      </c>
      <c r="F36" s="8">
        <v>3</v>
      </c>
      <c r="G36" s="8"/>
      <c r="H36" s="8"/>
      <c r="I36" s="22"/>
      <c r="J36" s="22"/>
      <c r="K36" s="26"/>
      <c r="L36" s="8"/>
      <c r="M36" s="8"/>
      <c r="N36" s="22"/>
      <c r="O36" s="26"/>
      <c r="P36" s="45"/>
    </row>
    <row r="37" spans="1:16" ht="36" customHeight="1">
      <c r="A37" s="46" t="s">
        <v>135</v>
      </c>
      <c r="B37" s="8" t="s">
        <v>136</v>
      </c>
      <c r="C37" s="8"/>
      <c r="D37" s="8" t="s">
        <v>17</v>
      </c>
      <c r="E37" s="8" t="s">
        <v>137</v>
      </c>
      <c r="F37" s="8">
        <v>3.2</v>
      </c>
      <c r="G37" s="8" t="s">
        <v>130</v>
      </c>
      <c r="H37" s="8">
        <v>6.7881</v>
      </c>
      <c r="I37" s="8">
        <v>58.083199999999998</v>
      </c>
      <c r="J37" s="8">
        <v>4.5209999999999999</v>
      </c>
      <c r="K37" s="22"/>
      <c r="L37" s="23">
        <v>46223</v>
      </c>
      <c r="M37" s="8" t="str">
        <f t="shared" ref="M37:M41" ca="1" si="2">DATEDIF(TODAY(),L37,"y")&amp;"年"&amp;DATEDIF(TODAY(),L37,"ym")&amp;"月"</f>
        <v>0年0月</v>
      </c>
      <c r="N37" s="8"/>
      <c r="O37" s="22"/>
      <c r="P37" s="45">
        <f>SUM(B38:O38)</f>
        <v>6</v>
      </c>
    </row>
    <row r="38" spans="1:16" ht="38" customHeight="1">
      <c r="A38" s="46"/>
      <c r="B38" s="8">
        <v>1</v>
      </c>
      <c r="C38" s="8">
        <v>0</v>
      </c>
      <c r="D38" s="8">
        <v>1</v>
      </c>
      <c r="E38" s="8">
        <v>1</v>
      </c>
      <c r="F38" s="8">
        <v>3</v>
      </c>
      <c r="G38" s="8"/>
      <c r="H38" s="8"/>
      <c r="I38" s="22"/>
      <c r="J38" s="22"/>
      <c r="K38" s="26"/>
      <c r="L38" s="8"/>
      <c r="M38" s="8"/>
      <c r="N38" s="8"/>
      <c r="O38" s="26"/>
      <c r="P38" s="45"/>
    </row>
    <row r="39" spans="1:16" ht="36" customHeight="1">
      <c r="A39" s="46" t="s">
        <v>138</v>
      </c>
      <c r="B39" s="8" t="s">
        <v>139</v>
      </c>
      <c r="C39" s="8" t="s">
        <v>140</v>
      </c>
      <c r="D39" s="8" t="s">
        <v>17</v>
      </c>
      <c r="E39" s="8" t="s">
        <v>141</v>
      </c>
      <c r="F39" s="8">
        <v>3.07</v>
      </c>
      <c r="G39" s="8" t="s">
        <v>130</v>
      </c>
      <c r="H39" s="8">
        <v>4.8022</v>
      </c>
      <c r="I39" s="8">
        <v>48.432699999999997</v>
      </c>
      <c r="J39" s="8">
        <v>7.1920000000000002</v>
      </c>
      <c r="K39" s="22"/>
      <c r="L39" s="23">
        <v>46640</v>
      </c>
      <c r="M39" s="8" t="str">
        <f t="shared" ca="1" si="2"/>
        <v>1年1月</v>
      </c>
      <c r="N39" s="8"/>
      <c r="O39" s="22"/>
      <c r="P39" s="45">
        <f>SUM(B40:O40)</f>
        <v>5</v>
      </c>
    </row>
    <row r="40" spans="1:16" ht="38" customHeight="1">
      <c r="A40" s="46"/>
      <c r="B40" s="8">
        <v>0</v>
      </c>
      <c r="C40" s="8">
        <v>0</v>
      </c>
      <c r="D40" s="8">
        <v>1</v>
      </c>
      <c r="E40" s="8">
        <v>1</v>
      </c>
      <c r="F40" s="8">
        <v>3</v>
      </c>
      <c r="G40" s="8"/>
      <c r="H40" s="8"/>
      <c r="I40" s="22"/>
      <c r="J40" s="22"/>
      <c r="K40" s="26"/>
      <c r="L40" s="8"/>
      <c r="M40" s="8"/>
      <c r="N40" s="8"/>
      <c r="O40" s="26"/>
      <c r="P40" s="45"/>
    </row>
    <row r="41" spans="1:16" ht="36" customHeight="1">
      <c r="A41" s="46" t="s">
        <v>142</v>
      </c>
      <c r="B41" s="8" t="s">
        <v>143</v>
      </c>
      <c r="C41" s="8" t="s">
        <v>144</v>
      </c>
      <c r="D41" s="8" t="s">
        <v>115</v>
      </c>
      <c r="E41" s="8" t="s">
        <v>145</v>
      </c>
      <c r="F41" s="8">
        <v>5.9</v>
      </c>
      <c r="G41" s="8" t="s">
        <v>69</v>
      </c>
      <c r="H41" s="8">
        <v>-28.023099999999999</v>
      </c>
      <c r="I41" s="8">
        <v>19.877800000000001</v>
      </c>
      <c r="J41" s="8">
        <v>7.8760000000000003</v>
      </c>
      <c r="K41" s="22"/>
      <c r="L41" s="23">
        <v>46129</v>
      </c>
      <c r="M41" s="8" t="e">
        <f t="shared" ca="1" si="2"/>
        <v>#NUM!</v>
      </c>
      <c r="N41" s="8" t="s">
        <v>70</v>
      </c>
      <c r="O41" s="22"/>
      <c r="P41" s="45">
        <f>SUM(B42:O42)</f>
        <v>9</v>
      </c>
    </row>
    <row r="42" spans="1:16" ht="38" customHeight="1">
      <c r="A42" s="46"/>
      <c r="B42" s="8">
        <v>1</v>
      </c>
      <c r="C42" s="8">
        <v>0</v>
      </c>
      <c r="D42" s="8">
        <v>1</v>
      </c>
      <c r="E42" s="8">
        <v>1</v>
      </c>
      <c r="F42" s="8">
        <v>5</v>
      </c>
      <c r="G42" s="8"/>
      <c r="H42" s="8"/>
      <c r="I42" s="22"/>
      <c r="J42" s="22"/>
      <c r="K42" s="26"/>
      <c r="L42" s="8"/>
      <c r="M42" s="8"/>
      <c r="N42" s="8">
        <v>1</v>
      </c>
      <c r="O42" s="26"/>
      <c r="P42" s="45"/>
    </row>
    <row r="43" spans="1:16" ht="36" customHeight="1">
      <c r="A43" s="45" t="s">
        <v>146</v>
      </c>
      <c r="B43" s="7" t="s">
        <v>147</v>
      </c>
      <c r="C43" s="7" t="s">
        <v>148</v>
      </c>
      <c r="D43" s="7"/>
      <c r="E43" s="7" t="s">
        <v>149</v>
      </c>
      <c r="F43" s="7">
        <v>3.7</v>
      </c>
      <c r="G43" s="7"/>
      <c r="H43" s="7"/>
      <c r="I43" s="7"/>
      <c r="J43" s="7"/>
      <c r="K43" s="18"/>
      <c r="L43" s="7"/>
      <c r="M43" s="7"/>
      <c r="N43" s="7"/>
      <c r="O43" s="18"/>
      <c r="P43" s="45">
        <f>SUM(B44:O44)</f>
        <v>5</v>
      </c>
    </row>
    <row r="44" spans="1:16" ht="38" customHeight="1">
      <c r="A44" s="45"/>
      <c r="B44" s="7">
        <v>1</v>
      </c>
      <c r="C44" s="7">
        <v>0</v>
      </c>
      <c r="D44" s="7"/>
      <c r="E44" s="7">
        <v>1</v>
      </c>
      <c r="F44" s="7">
        <v>3</v>
      </c>
      <c r="G44" s="7"/>
      <c r="H44" s="7"/>
      <c r="I44" s="18"/>
      <c r="J44" s="18"/>
      <c r="K44" s="27"/>
      <c r="L44" s="7"/>
      <c r="M44" s="7"/>
      <c r="N44" s="18"/>
      <c r="O44" s="27"/>
      <c r="P44" s="45"/>
    </row>
    <row r="45" spans="1:16" ht="36" hidden="1" customHeight="1">
      <c r="A45" s="45" t="s">
        <v>150</v>
      </c>
      <c r="B45" s="7" t="s">
        <v>151</v>
      </c>
      <c r="C45" s="7" t="s">
        <v>152</v>
      </c>
      <c r="D45" s="7"/>
      <c r="E45" s="7" t="s">
        <v>153</v>
      </c>
      <c r="F45" s="7">
        <v>2.7</v>
      </c>
      <c r="G45" s="7"/>
      <c r="H45" s="7"/>
      <c r="I45" s="7"/>
      <c r="J45" s="7"/>
      <c r="K45" s="18"/>
      <c r="L45" s="7"/>
      <c r="M45" s="7"/>
      <c r="N45" s="7"/>
      <c r="O45" s="18"/>
      <c r="P45" s="45">
        <f t="shared" ref="P45:P49" si="3">SUM(B46:O46)</f>
        <v>4</v>
      </c>
    </row>
    <row r="46" spans="1:16" ht="38" hidden="1" customHeight="1">
      <c r="A46" s="45"/>
      <c r="B46" s="7">
        <v>1</v>
      </c>
      <c r="C46" s="7">
        <v>0</v>
      </c>
      <c r="D46" s="7"/>
      <c r="E46" s="7">
        <v>1</v>
      </c>
      <c r="F46" s="7">
        <v>2</v>
      </c>
      <c r="G46" s="7"/>
      <c r="H46" s="7"/>
      <c r="I46" s="18"/>
      <c r="J46" s="18"/>
      <c r="K46" s="27"/>
      <c r="L46" s="7"/>
      <c r="M46" s="7"/>
      <c r="N46" s="18"/>
      <c r="O46" s="27"/>
      <c r="P46" s="45"/>
    </row>
    <row r="47" spans="1:16" ht="36" customHeight="1">
      <c r="A47" s="44" t="s">
        <v>154</v>
      </c>
      <c r="B47" s="6" t="s">
        <v>155</v>
      </c>
      <c r="C47" s="6" t="s">
        <v>156</v>
      </c>
      <c r="D47" s="6"/>
      <c r="E47" s="6" t="s">
        <v>157</v>
      </c>
      <c r="F47" s="6">
        <v>3</v>
      </c>
      <c r="G47" s="6"/>
      <c r="H47" s="6"/>
      <c r="I47" s="6"/>
      <c r="J47" s="6"/>
      <c r="K47" s="14"/>
      <c r="L47" s="6"/>
      <c r="M47" s="6"/>
      <c r="N47" s="6"/>
      <c r="O47" s="14" t="s">
        <v>62</v>
      </c>
      <c r="P47" s="45">
        <f t="shared" si="3"/>
        <v>3</v>
      </c>
    </row>
    <row r="48" spans="1:16" ht="38" customHeight="1">
      <c r="A48" s="44"/>
      <c r="B48" s="6">
        <v>0</v>
      </c>
      <c r="C48" s="6">
        <v>0</v>
      </c>
      <c r="D48" s="6"/>
      <c r="E48" s="6">
        <v>1</v>
      </c>
      <c r="F48" s="6">
        <v>3</v>
      </c>
      <c r="G48" s="6"/>
      <c r="H48" s="6"/>
      <c r="I48" s="14"/>
      <c r="J48" s="14"/>
      <c r="K48" s="31"/>
      <c r="L48" s="6"/>
      <c r="M48" s="6"/>
      <c r="N48" s="14"/>
      <c r="O48" s="31">
        <v>-1</v>
      </c>
      <c r="P48" s="45"/>
    </row>
    <row r="49" spans="1:16" ht="36" customHeight="1">
      <c r="A49" s="46" t="s">
        <v>158</v>
      </c>
      <c r="B49" s="8" t="s">
        <v>159</v>
      </c>
      <c r="C49" s="8" t="s">
        <v>160</v>
      </c>
      <c r="D49" s="8" t="s">
        <v>17</v>
      </c>
      <c r="E49" s="8" t="s">
        <v>161</v>
      </c>
      <c r="F49" s="8">
        <v>2.2999999999999998</v>
      </c>
      <c r="G49" s="8"/>
      <c r="H49" s="8"/>
      <c r="I49" s="8"/>
      <c r="J49" s="8"/>
      <c r="K49" s="22"/>
      <c r="L49" s="8"/>
      <c r="M49" s="8"/>
      <c r="N49" s="8"/>
      <c r="O49" s="22"/>
      <c r="P49" s="45">
        <f t="shared" si="3"/>
        <v>5</v>
      </c>
    </row>
    <row r="50" spans="1:16" ht="36" customHeight="1">
      <c r="A50" s="46"/>
      <c r="B50" s="8">
        <v>1</v>
      </c>
      <c r="C50" s="8">
        <v>0</v>
      </c>
      <c r="D50" s="8">
        <v>1</v>
      </c>
      <c r="E50" s="8">
        <v>1</v>
      </c>
      <c r="F50" s="8">
        <v>2</v>
      </c>
      <c r="G50" s="8"/>
      <c r="H50" s="8"/>
      <c r="I50" s="8"/>
      <c r="J50" s="8"/>
      <c r="K50" s="22"/>
      <c r="L50" s="8"/>
      <c r="M50" s="8"/>
      <c r="N50" s="8"/>
      <c r="O50" s="22"/>
      <c r="P50" s="45"/>
    </row>
    <row r="51" spans="1:16" ht="36" customHeight="1">
      <c r="A51" s="46" t="s">
        <v>162</v>
      </c>
      <c r="B51" s="8" t="s">
        <v>163</v>
      </c>
      <c r="C51" s="8" t="s">
        <v>164</v>
      </c>
      <c r="D51" s="8" t="s">
        <v>19</v>
      </c>
      <c r="E51" s="8" t="s">
        <v>165</v>
      </c>
      <c r="F51" s="8">
        <v>2.4</v>
      </c>
      <c r="G51" s="8" t="s">
        <v>130</v>
      </c>
      <c r="H51" s="8">
        <v>4.9452999999999996</v>
      </c>
      <c r="I51" s="8">
        <v>33.113300000000002</v>
      </c>
      <c r="J51" s="8">
        <v>3.7469999999999999</v>
      </c>
      <c r="K51" s="22"/>
      <c r="L51" s="8" t="s">
        <v>166</v>
      </c>
      <c r="M51" s="8" t="str">
        <f ca="1">DATEDIF(TODAY(),L51,"y")&amp;"年"&amp;DATEDIF(TODAY(),L51,"ym")&amp;"月"</f>
        <v>1年11月</v>
      </c>
      <c r="N51" s="8"/>
      <c r="O51" s="22"/>
      <c r="P51" s="45">
        <f>SUM(B52:O52)</f>
        <v>4</v>
      </c>
    </row>
    <row r="52" spans="1:16" ht="36" customHeight="1">
      <c r="A52" s="46"/>
      <c r="B52" s="8">
        <v>0</v>
      </c>
      <c r="C52" s="8">
        <v>0</v>
      </c>
      <c r="D52" s="8">
        <v>1</v>
      </c>
      <c r="E52" s="8">
        <v>1</v>
      </c>
      <c r="F52" s="8">
        <v>2</v>
      </c>
      <c r="G52" s="8"/>
      <c r="H52" s="8"/>
      <c r="I52" s="8"/>
      <c r="J52" s="8"/>
      <c r="K52" s="22"/>
      <c r="L52" s="8"/>
      <c r="M52" s="8"/>
      <c r="N52" s="8"/>
      <c r="O52" s="22"/>
      <c r="P52" s="45"/>
    </row>
    <row r="53" spans="1:16" ht="36" customHeight="1">
      <c r="A53" s="45" t="s">
        <v>167</v>
      </c>
      <c r="B53" s="7" t="s">
        <v>163</v>
      </c>
      <c r="C53" s="7" t="s">
        <v>168</v>
      </c>
      <c r="D53" s="7"/>
      <c r="E53" s="7"/>
      <c r="F53" s="7">
        <v>5</v>
      </c>
      <c r="G53" s="7"/>
      <c r="H53" s="7"/>
      <c r="I53" s="7"/>
      <c r="J53" s="7"/>
      <c r="K53" s="18"/>
      <c r="L53" s="32"/>
      <c r="M53" s="32"/>
      <c r="N53" s="32"/>
      <c r="O53" s="33"/>
      <c r="P53" s="45">
        <f>SUM(B54:O54)</f>
        <v>5</v>
      </c>
    </row>
    <row r="54" spans="1:16" ht="36" customHeight="1">
      <c r="A54" s="45"/>
      <c r="B54" s="7">
        <v>0</v>
      </c>
      <c r="C54" s="7">
        <v>0</v>
      </c>
      <c r="D54" s="7"/>
      <c r="E54" s="7"/>
      <c r="F54" s="7">
        <v>5</v>
      </c>
      <c r="G54" s="7"/>
      <c r="H54" s="7"/>
      <c r="I54" s="7"/>
      <c r="J54" s="7"/>
      <c r="K54" s="18"/>
      <c r="L54" s="32"/>
      <c r="M54" s="32"/>
      <c r="N54" s="32"/>
      <c r="O54" s="33"/>
      <c r="P54" s="45"/>
    </row>
    <row r="55" spans="1:16" ht="36" customHeight="1">
      <c r="A55" s="45" t="s">
        <v>169</v>
      </c>
      <c r="B55" s="7" t="s">
        <v>170</v>
      </c>
      <c r="C55" s="7" t="s">
        <v>171</v>
      </c>
      <c r="D55" s="7"/>
      <c r="E55" s="7" t="s">
        <v>172</v>
      </c>
      <c r="F55" s="7">
        <v>2.4</v>
      </c>
      <c r="G55" s="7"/>
      <c r="H55" s="7"/>
      <c r="I55" s="7"/>
      <c r="J55" s="7"/>
      <c r="K55" s="18"/>
      <c r="L55" s="32"/>
      <c r="M55" s="32"/>
      <c r="N55" s="32"/>
      <c r="O55" s="33"/>
      <c r="P55" s="45">
        <f t="shared" ref="P55:P59" si="4">SUM(B56:O56)</f>
        <v>4</v>
      </c>
    </row>
    <row r="56" spans="1:16" ht="36" customHeight="1">
      <c r="A56" s="45"/>
      <c r="B56" s="7">
        <v>1</v>
      </c>
      <c r="C56" s="7">
        <v>0</v>
      </c>
      <c r="D56" s="7"/>
      <c r="E56" s="7">
        <v>1</v>
      </c>
      <c r="F56" s="7">
        <v>2</v>
      </c>
      <c r="G56" s="7"/>
      <c r="H56" s="7"/>
      <c r="I56" s="7"/>
      <c r="J56" s="7"/>
      <c r="K56" s="18"/>
      <c r="L56" s="32"/>
      <c r="M56" s="32"/>
      <c r="N56" s="32"/>
      <c r="O56" s="33"/>
      <c r="P56" s="45"/>
    </row>
    <row r="57" spans="1:16" ht="36" customHeight="1">
      <c r="A57" s="45" t="s">
        <v>173</v>
      </c>
      <c r="B57" s="7" t="s">
        <v>163</v>
      </c>
      <c r="C57" s="7" t="s">
        <v>174</v>
      </c>
      <c r="D57" s="7" t="s">
        <v>19</v>
      </c>
      <c r="E57" s="7" t="s">
        <v>175</v>
      </c>
      <c r="F57" s="7">
        <v>3.5</v>
      </c>
      <c r="G57" s="7"/>
      <c r="H57" s="7"/>
      <c r="I57" s="7"/>
      <c r="J57" s="7"/>
      <c r="K57" s="18"/>
      <c r="L57" s="32"/>
      <c r="M57" s="32"/>
      <c r="N57" s="32"/>
      <c r="O57" s="33"/>
      <c r="P57" s="45">
        <f t="shared" si="4"/>
        <v>5</v>
      </c>
    </row>
    <row r="58" spans="1:16" ht="36" customHeight="1">
      <c r="A58" s="45"/>
      <c r="B58" s="7">
        <v>0</v>
      </c>
      <c r="C58" s="7">
        <v>0</v>
      </c>
      <c r="D58" s="7">
        <v>1</v>
      </c>
      <c r="E58" s="7">
        <v>1</v>
      </c>
      <c r="F58" s="7">
        <v>3</v>
      </c>
      <c r="G58" s="7"/>
      <c r="H58" s="7"/>
      <c r="I58" s="7"/>
      <c r="J58" s="7"/>
      <c r="K58" s="18"/>
      <c r="L58" s="32"/>
      <c r="M58" s="32"/>
      <c r="N58" s="32"/>
      <c r="O58" s="33"/>
      <c r="P58" s="45"/>
    </row>
    <row r="59" spans="1:16" ht="36" customHeight="1">
      <c r="A59" s="45" t="s">
        <v>176</v>
      </c>
      <c r="B59" s="7" t="s">
        <v>159</v>
      </c>
      <c r="C59" s="7" t="s">
        <v>177</v>
      </c>
      <c r="D59" s="7" t="s">
        <v>17</v>
      </c>
      <c r="E59" s="7" t="s">
        <v>178</v>
      </c>
      <c r="F59" s="7">
        <v>4.3</v>
      </c>
      <c r="G59" s="7"/>
      <c r="H59" s="7"/>
      <c r="I59" s="7"/>
      <c r="J59" s="7"/>
      <c r="K59" s="18"/>
      <c r="L59" s="32"/>
      <c r="M59" s="32"/>
      <c r="N59" s="32"/>
      <c r="O59" s="33"/>
      <c r="P59" s="45">
        <f t="shared" si="4"/>
        <v>7</v>
      </c>
    </row>
    <row r="60" spans="1:16" ht="36" customHeight="1">
      <c r="A60" s="45"/>
      <c r="B60" s="7">
        <v>1</v>
      </c>
      <c r="C60" s="7">
        <v>0</v>
      </c>
      <c r="D60" s="7">
        <v>1</v>
      </c>
      <c r="E60" s="7">
        <v>1</v>
      </c>
      <c r="F60" s="7">
        <v>4</v>
      </c>
      <c r="G60" s="7"/>
      <c r="H60" s="7"/>
      <c r="I60" s="7"/>
      <c r="J60" s="7"/>
      <c r="K60" s="18"/>
      <c r="L60" s="32"/>
      <c r="M60" s="32"/>
      <c r="N60" s="32"/>
      <c r="O60" s="33"/>
      <c r="P60" s="45"/>
    </row>
    <row r="61" spans="1:16" ht="36" customHeight="1">
      <c r="A61" s="48" t="s">
        <v>179</v>
      </c>
      <c r="B61" s="10" t="s">
        <v>159</v>
      </c>
      <c r="C61" s="10" t="s">
        <v>180</v>
      </c>
      <c r="D61" s="10" t="s">
        <v>17</v>
      </c>
      <c r="E61" s="10" t="s">
        <v>181</v>
      </c>
      <c r="F61" s="10">
        <v>3.4</v>
      </c>
      <c r="G61" s="10" t="s">
        <v>130</v>
      </c>
      <c r="H61" s="10">
        <v>4.2031999999999998</v>
      </c>
      <c r="I61" s="10">
        <v>95.125500000000002</v>
      </c>
      <c r="J61" s="10">
        <v>27.327000000000002</v>
      </c>
      <c r="K61" s="29" t="s">
        <v>182</v>
      </c>
      <c r="L61" s="10">
        <v>46819</v>
      </c>
      <c r="M61" s="10" t="str">
        <f ca="1">DATEDIF(TODAY(),L61,"y")&amp;"年"&amp;DATEDIF(TODAY(),L61,"ym")&amp;"月"</f>
        <v>1年7月</v>
      </c>
      <c r="N61" s="10"/>
      <c r="O61" s="29"/>
      <c r="P61" s="45">
        <f>SUM(B62:O62)</f>
        <v>6</v>
      </c>
    </row>
    <row r="62" spans="1:16" ht="36" customHeight="1">
      <c r="A62" s="48"/>
      <c r="B62" s="10">
        <v>1</v>
      </c>
      <c r="C62" s="10">
        <v>0</v>
      </c>
      <c r="D62" s="10">
        <v>1</v>
      </c>
      <c r="E62" s="10">
        <v>1</v>
      </c>
      <c r="F62" s="10">
        <v>3</v>
      </c>
      <c r="G62" s="10"/>
      <c r="H62" s="10"/>
      <c r="I62" s="10"/>
      <c r="J62" s="10"/>
      <c r="K62" s="29"/>
      <c r="L62" s="10"/>
      <c r="M62" s="10"/>
      <c r="N62" s="10"/>
      <c r="O62" s="29"/>
      <c r="P62" s="45"/>
    </row>
    <row r="63" spans="1:16" s="1" customFormat="1" ht="36" customHeight="1">
      <c r="A63" s="49" t="s">
        <v>183</v>
      </c>
      <c r="B63" s="11" t="s">
        <v>184</v>
      </c>
      <c r="C63" s="11" t="s">
        <v>185</v>
      </c>
      <c r="D63" s="11"/>
      <c r="E63" s="11" t="s">
        <v>186</v>
      </c>
      <c r="F63" s="11">
        <v>2.8</v>
      </c>
      <c r="G63" s="11" t="s">
        <v>60</v>
      </c>
      <c r="H63" s="11">
        <v>-2.7334999999999998</v>
      </c>
      <c r="I63" s="11">
        <v>28.342600000000001</v>
      </c>
      <c r="J63" s="11">
        <v>13.747999999999999</v>
      </c>
      <c r="K63" s="34"/>
      <c r="L63" s="35">
        <v>46234</v>
      </c>
      <c r="M63" s="11" t="str">
        <f ca="1">DATEDIF(TODAY(),L63,"y")&amp;"年"&amp;DATEDIF(TODAY(),L63,"ym")&amp;"月"</f>
        <v>0年0月</v>
      </c>
      <c r="N63" s="11"/>
      <c r="O63" s="34"/>
      <c r="P63" s="49">
        <f>SUM(B64:O64)</f>
        <v>4</v>
      </c>
    </row>
    <row r="64" spans="1:16" s="1" customFormat="1" ht="36" customHeight="1">
      <c r="A64" s="49"/>
      <c r="B64" s="11">
        <v>1</v>
      </c>
      <c r="C64" s="11"/>
      <c r="D64" s="11"/>
      <c r="E64" s="11">
        <v>1</v>
      </c>
      <c r="F64" s="11">
        <v>2</v>
      </c>
      <c r="G64" s="11"/>
      <c r="H64" s="11"/>
      <c r="I64" s="11"/>
      <c r="J64" s="11"/>
      <c r="K64" s="34"/>
      <c r="L64" s="11"/>
      <c r="M64" s="11"/>
      <c r="N64" s="11"/>
      <c r="O64" s="34"/>
      <c r="P64" s="49"/>
    </row>
    <row r="65" spans="1:16" s="1" customFormat="1" ht="36" customHeight="1">
      <c r="A65" s="49" t="s">
        <v>187</v>
      </c>
      <c r="B65" s="11" t="s">
        <v>188</v>
      </c>
      <c r="C65" s="11" t="s">
        <v>189</v>
      </c>
      <c r="D65" s="11" t="s">
        <v>19</v>
      </c>
      <c r="E65" s="11" t="s">
        <v>149</v>
      </c>
      <c r="F65" s="11">
        <v>2.5</v>
      </c>
      <c r="G65" s="11" t="s">
        <v>60</v>
      </c>
      <c r="H65" s="11">
        <v>-28.102</v>
      </c>
      <c r="I65" s="11">
        <v>105.8986</v>
      </c>
      <c r="J65" s="11">
        <v>3.625</v>
      </c>
      <c r="K65" s="34"/>
      <c r="L65" s="35">
        <v>46218</v>
      </c>
      <c r="M65" s="11" t="str">
        <f ca="1">DATEDIF(TODAY(),L65,"y")&amp;"年"&amp;DATEDIF(TODAY(),L65,"ym")&amp;"月"</f>
        <v>0年0月</v>
      </c>
      <c r="N65" s="11"/>
      <c r="O65" s="34"/>
      <c r="P65" s="49">
        <f>SUM(B66:O66)</f>
        <v>4</v>
      </c>
    </row>
    <row r="66" spans="1:16" s="1" customFormat="1" ht="36" customHeight="1">
      <c r="A66" s="49"/>
      <c r="B66" s="11"/>
      <c r="C66" s="11"/>
      <c r="D66" s="11">
        <v>1</v>
      </c>
      <c r="E66" s="11">
        <v>1</v>
      </c>
      <c r="F66" s="11">
        <v>2</v>
      </c>
      <c r="G66" s="11"/>
      <c r="H66" s="11"/>
      <c r="I66" s="11"/>
      <c r="J66" s="11"/>
      <c r="K66" s="34"/>
      <c r="L66" s="11"/>
      <c r="M66" s="11"/>
      <c r="N66" s="11"/>
      <c r="O66" s="34"/>
      <c r="P66" s="49"/>
    </row>
    <row r="67" spans="1:16" ht="36" customHeight="1">
      <c r="A67" s="45" t="s">
        <v>190</v>
      </c>
      <c r="B67" s="7"/>
      <c r="C67" s="7" t="s">
        <v>191</v>
      </c>
      <c r="D67" s="7"/>
      <c r="E67" s="7" t="s">
        <v>192</v>
      </c>
      <c r="F67" s="7">
        <v>3.6</v>
      </c>
      <c r="G67" s="7"/>
      <c r="H67" s="7"/>
      <c r="I67" s="7"/>
      <c r="J67" s="7"/>
      <c r="K67" s="18"/>
      <c r="L67" s="36">
        <v>46485</v>
      </c>
      <c r="M67" s="32" t="str">
        <f ca="1">DATEDIF(TODAY(),L67,"y")&amp;"年"&amp;DATEDIF(TODAY(),L67,"ym")&amp;"月"</f>
        <v>0年8月</v>
      </c>
      <c r="N67" s="32"/>
      <c r="O67" s="33"/>
      <c r="P67" s="45">
        <f t="shared" ref="P67:P71" si="5">SUM(B68:O68)</f>
        <v>4</v>
      </c>
    </row>
    <row r="68" spans="1:16" ht="36" customHeight="1">
      <c r="A68" s="45"/>
      <c r="B68" s="7"/>
      <c r="C68" s="7">
        <v>0</v>
      </c>
      <c r="D68" s="7"/>
      <c r="E68" s="7">
        <v>1</v>
      </c>
      <c r="F68" s="7">
        <v>3</v>
      </c>
      <c r="G68" s="7"/>
      <c r="H68" s="7"/>
      <c r="I68" s="7"/>
      <c r="J68" s="7"/>
      <c r="K68" s="18"/>
      <c r="L68" s="32"/>
      <c r="M68" s="32"/>
      <c r="N68" s="32"/>
      <c r="O68" s="33"/>
      <c r="P68" s="45"/>
    </row>
    <row r="69" spans="1:16" ht="36" customHeight="1">
      <c r="A69" s="45" t="s">
        <v>193</v>
      </c>
      <c r="B69" s="7"/>
      <c r="C69" s="7" t="s">
        <v>168</v>
      </c>
      <c r="D69" s="7"/>
      <c r="E69" s="7" t="s">
        <v>194</v>
      </c>
      <c r="F69" s="7">
        <v>3.4</v>
      </c>
      <c r="G69" s="7"/>
      <c r="H69" s="7"/>
      <c r="I69" s="7"/>
      <c r="J69" s="7"/>
      <c r="K69" s="18"/>
      <c r="L69" s="32"/>
      <c r="M69" s="32"/>
      <c r="N69" s="32"/>
      <c r="O69" s="33"/>
      <c r="P69" s="45">
        <f t="shared" si="5"/>
        <v>4</v>
      </c>
    </row>
    <row r="70" spans="1:16" ht="36" customHeight="1">
      <c r="A70" s="45"/>
      <c r="B70" s="7"/>
      <c r="C70" s="7">
        <v>0</v>
      </c>
      <c r="D70" s="7"/>
      <c r="E70" s="7">
        <v>1</v>
      </c>
      <c r="F70" s="7">
        <v>3</v>
      </c>
      <c r="G70" s="7"/>
      <c r="H70" s="7"/>
      <c r="I70" s="7"/>
      <c r="J70" s="7"/>
      <c r="K70" s="18"/>
      <c r="L70" s="32"/>
      <c r="M70" s="32"/>
      <c r="N70" s="32"/>
      <c r="O70" s="33"/>
      <c r="P70" s="45"/>
    </row>
    <row r="71" spans="1:16" ht="36" customHeight="1">
      <c r="A71" s="46" t="s">
        <v>195</v>
      </c>
      <c r="B71" s="8"/>
      <c r="C71" s="8" t="s">
        <v>196</v>
      </c>
      <c r="D71" s="8" t="s">
        <v>17</v>
      </c>
      <c r="E71" s="8" t="s">
        <v>197</v>
      </c>
      <c r="F71" s="8">
        <v>3.75</v>
      </c>
      <c r="G71" s="8" t="s">
        <v>69</v>
      </c>
      <c r="H71" s="8">
        <v>-8.8018000000000001</v>
      </c>
      <c r="I71" s="8">
        <v>68.1374</v>
      </c>
      <c r="J71" s="8">
        <v>3.8650000000000002</v>
      </c>
      <c r="K71" s="22"/>
      <c r="L71" s="8">
        <v>46955</v>
      </c>
      <c r="M71" s="8" t="str">
        <f t="shared" ref="M71:M75" ca="1" si="6">DATEDIF(TODAY(),L71,"y")&amp;"年"&amp;DATEDIF(TODAY(),L71,"ym")&amp;"月"</f>
        <v>2年0月</v>
      </c>
      <c r="N71" s="8"/>
      <c r="O71" s="22"/>
      <c r="P71" s="45">
        <f t="shared" si="5"/>
        <v>5</v>
      </c>
    </row>
    <row r="72" spans="1:16" ht="36" customHeight="1">
      <c r="A72" s="46"/>
      <c r="B72" s="8"/>
      <c r="C72" s="8"/>
      <c r="D72" s="8">
        <v>1</v>
      </c>
      <c r="E72" s="8">
        <v>1</v>
      </c>
      <c r="F72" s="8">
        <v>3</v>
      </c>
      <c r="G72" s="8"/>
      <c r="H72" s="8"/>
      <c r="I72" s="8"/>
      <c r="J72" s="8"/>
      <c r="K72" s="22"/>
      <c r="L72" s="8"/>
      <c r="M72" s="8"/>
      <c r="N72" s="8"/>
      <c r="O72" s="22"/>
      <c r="P72" s="45"/>
    </row>
    <row r="73" spans="1:16" ht="36" customHeight="1">
      <c r="A73" s="46" t="s">
        <v>198</v>
      </c>
      <c r="B73" s="8" t="s">
        <v>159</v>
      </c>
      <c r="C73" s="8" t="s">
        <v>199</v>
      </c>
      <c r="D73" s="8"/>
      <c r="E73" s="8" t="s">
        <v>192</v>
      </c>
      <c r="F73" s="8">
        <v>2.5</v>
      </c>
      <c r="G73" s="8" t="s">
        <v>69</v>
      </c>
      <c r="H73" s="8">
        <v>9.1709999999999994</v>
      </c>
      <c r="I73" s="8">
        <v>34.680100000000003</v>
      </c>
      <c r="J73" s="8">
        <v>9.391</v>
      </c>
      <c r="K73" s="22"/>
      <c r="L73" s="8">
        <v>46220</v>
      </c>
      <c r="M73" s="8" t="str">
        <f t="shared" ca="1" si="6"/>
        <v>0年0月</v>
      </c>
      <c r="N73" s="8" t="s">
        <v>70</v>
      </c>
      <c r="O73" s="22"/>
      <c r="P73" s="45">
        <f t="shared" ref="P73:P77" si="7">SUM(B74:O74)</f>
        <v>5</v>
      </c>
    </row>
    <row r="74" spans="1:16" ht="36" customHeight="1">
      <c r="A74" s="46"/>
      <c r="B74" s="8">
        <v>1</v>
      </c>
      <c r="C74" s="8"/>
      <c r="D74" s="8"/>
      <c r="E74" s="8">
        <v>1</v>
      </c>
      <c r="F74" s="8">
        <v>2</v>
      </c>
      <c r="G74" s="8"/>
      <c r="H74" s="8"/>
      <c r="I74" s="8"/>
      <c r="J74" s="8"/>
      <c r="K74" s="22"/>
      <c r="L74" s="8"/>
      <c r="M74" s="8"/>
      <c r="N74" s="8">
        <v>1</v>
      </c>
      <c r="O74" s="22"/>
      <c r="P74" s="45"/>
    </row>
    <row r="75" spans="1:16" ht="36" customHeight="1">
      <c r="A75" s="44" t="s">
        <v>200</v>
      </c>
      <c r="B75" s="6"/>
      <c r="C75" s="6" t="s">
        <v>88</v>
      </c>
      <c r="D75" s="6" t="s">
        <v>115</v>
      </c>
      <c r="E75" s="6" t="s">
        <v>161</v>
      </c>
      <c r="F75" s="6">
        <v>2.5</v>
      </c>
      <c r="G75" s="6" t="s">
        <v>69</v>
      </c>
      <c r="H75" s="6">
        <v>4.1558999999999999</v>
      </c>
      <c r="I75" s="6">
        <v>217.64609999999999</v>
      </c>
      <c r="J75" s="6">
        <v>2.8889999999999998</v>
      </c>
      <c r="K75" s="14" t="s">
        <v>61</v>
      </c>
      <c r="L75" s="6">
        <v>46371</v>
      </c>
      <c r="M75" s="6" t="str">
        <f t="shared" ca="1" si="6"/>
        <v>0年5月</v>
      </c>
      <c r="N75" s="6"/>
      <c r="O75" s="14"/>
      <c r="P75" s="45">
        <f t="shared" si="7"/>
        <v>3</v>
      </c>
    </row>
    <row r="76" spans="1:16" ht="36" customHeight="1">
      <c r="A76" s="44"/>
      <c r="B76" s="6"/>
      <c r="C76" s="6"/>
      <c r="D76" s="6">
        <v>1</v>
      </c>
      <c r="E76" s="6">
        <v>1</v>
      </c>
      <c r="F76" s="6">
        <v>2</v>
      </c>
      <c r="G76" s="6"/>
      <c r="H76" s="6"/>
      <c r="I76" s="6"/>
      <c r="J76" s="6"/>
      <c r="K76" s="14">
        <v>-1</v>
      </c>
      <c r="L76" s="6"/>
      <c r="M76" s="6"/>
      <c r="N76" s="6"/>
      <c r="O76" s="14"/>
      <c r="P76" s="45"/>
    </row>
    <row r="77" spans="1:16" ht="36" customHeight="1">
      <c r="A77" s="44" t="s">
        <v>201</v>
      </c>
      <c r="B77" s="6"/>
      <c r="C77" s="6" t="s">
        <v>202</v>
      </c>
      <c r="D77" s="6" t="s">
        <v>17</v>
      </c>
      <c r="E77" s="6" t="s">
        <v>203</v>
      </c>
      <c r="F77" s="6">
        <v>1.5</v>
      </c>
      <c r="G77" s="6" t="s">
        <v>69</v>
      </c>
      <c r="H77" s="6">
        <v>0.29899999999999999</v>
      </c>
      <c r="I77" s="6">
        <v>36.325400000000002</v>
      </c>
      <c r="J77" s="6">
        <v>20.253</v>
      </c>
      <c r="K77" s="14" t="s">
        <v>182</v>
      </c>
      <c r="L77" s="15">
        <v>46017</v>
      </c>
      <c r="M77" s="14" t="e">
        <f t="shared" ref="M77:M81" ca="1" si="8">DATEDIF(TODAY(),L77,"y")&amp;"年"&amp;DATEDIF(TODAY(),L77,"ym")&amp;"月"</f>
        <v>#NUM!</v>
      </c>
      <c r="N77" s="14"/>
      <c r="O77" s="14"/>
      <c r="P77" s="45">
        <f t="shared" si="7"/>
        <v>3</v>
      </c>
    </row>
    <row r="78" spans="1:16" ht="36" customHeight="1">
      <c r="A78" s="44"/>
      <c r="B78" s="6"/>
      <c r="C78" s="6"/>
      <c r="D78" s="6">
        <v>1</v>
      </c>
      <c r="E78" s="6">
        <v>1</v>
      </c>
      <c r="F78" s="6">
        <v>1</v>
      </c>
      <c r="G78" s="6"/>
      <c r="H78" s="6"/>
      <c r="I78" s="6"/>
      <c r="J78" s="6"/>
      <c r="K78" s="31"/>
      <c r="L78" s="15"/>
      <c r="M78" s="14"/>
      <c r="N78" s="14"/>
      <c r="O78" s="14"/>
      <c r="P78" s="45"/>
    </row>
    <row r="79" spans="1:16" ht="36" customHeight="1">
      <c r="A79" s="46" t="s">
        <v>204</v>
      </c>
      <c r="B79" s="8"/>
      <c r="C79" s="8" t="s">
        <v>205</v>
      </c>
      <c r="D79" s="8" t="s">
        <v>17</v>
      </c>
      <c r="E79" s="8" t="s">
        <v>206</v>
      </c>
      <c r="F79" s="8">
        <v>1.6</v>
      </c>
      <c r="G79" s="8" t="s">
        <v>69</v>
      </c>
      <c r="H79" s="8">
        <v>18.068899999999999</v>
      </c>
      <c r="I79" s="8">
        <v>48.4298</v>
      </c>
      <c r="J79" s="8">
        <v>5.86</v>
      </c>
      <c r="K79" s="22"/>
      <c r="L79" s="23">
        <v>46371</v>
      </c>
      <c r="M79" s="22" t="str">
        <f t="shared" ca="1" si="8"/>
        <v>0年5月</v>
      </c>
      <c r="N79" s="22" t="s">
        <v>70</v>
      </c>
      <c r="O79" s="22"/>
      <c r="P79" s="45">
        <f t="shared" ref="P79:P83" si="9">SUM(B80:O80)</f>
        <v>4</v>
      </c>
    </row>
    <row r="80" spans="1:16" ht="36" customHeight="1">
      <c r="A80" s="46"/>
      <c r="B80" s="8"/>
      <c r="C80" s="8"/>
      <c r="D80" s="8">
        <v>1</v>
      </c>
      <c r="E80" s="8">
        <v>1</v>
      </c>
      <c r="F80" s="8">
        <v>1</v>
      </c>
      <c r="G80" s="8"/>
      <c r="H80" s="8"/>
      <c r="I80" s="8"/>
      <c r="J80" s="8"/>
      <c r="K80" s="26"/>
      <c r="L80" s="23"/>
      <c r="M80" s="22"/>
      <c r="N80" s="26">
        <v>1</v>
      </c>
      <c r="O80" s="22"/>
      <c r="P80" s="45"/>
    </row>
    <row r="81" spans="1:16" ht="36" customHeight="1">
      <c r="A81" s="46" t="s">
        <v>207</v>
      </c>
      <c r="B81" s="8"/>
      <c r="C81" s="8" t="s">
        <v>189</v>
      </c>
      <c r="D81" s="8" t="s">
        <v>219</v>
      </c>
      <c r="E81" s="8" t="s">
        <v>208</v>
      </c>
      <c r="F81" s="8">
        <v>3.4</v>
      </c>
      <c r="G81" s="8" t="s">
        <v>69</v>
      </c>
      <c r="H81" s="8">
        <v>-17.343800000000002</v>
      </c>
      <c r="I81" s="8">
        <v>34.778599999999997</v>
      </c>
      <c r="J81" s="8">
        <v>5.548</v>
      </c>
      <c r="K81" s="22"/>
      <c r="L81" s="23">
        <v>46834</v>
      </c>
      <c r="M81" s="22" t="str">
        <f t="shared" ca="1" si="8"/>
        <v>1年8月</v>
      </c>
      <c r="N81" s="22"/>
      <c r="O81" s="22"/>
      <c r="P81" s="45">
        <f t="shared" si="9"/>
        <v>5</v>
      </c>
    </row>
    <row r="82" spans="1:16" ht="36" customHeight="1">
      <c r="A82" s="46"/>
      <c r="B82" s="8"/>
      <c r="C82" s="8"/>
      <c r="D82" s="8">
        <v>1</v>
      </c>
      <c r="E82" s="8">
        <v>1</v>
      </c>
      <c r="F82" s="8">
        <v>3</v>
      </c>
      <c r="G82" s="8"/>
      <c r="H82" s="8"/>
      <c r="I82" s="8"/>
      <c r="J82" s="8"/>
      <c r="K82" s="26"/>
      <c r="L82" s="23"/>
      <c r="M82" s="22"/>
      <c r="N82" s="26"/>
      <c r="O82" s="22"/>
      <c r="P82" s="45"/>
    </row>
    <row r="83" spans="1:16" ht="36" customHeight="1">
      <c r="A83" s="46" t="s">
        <v>209</v>
      </c>
      <c r="B83" s="8"/>
      <c r="C83" s="8" t="s">
        <v>210</v>
      </c>
      <c r="D83" s="8" t="s">
        <v>17</v>
      </c>
      <c r="E83" s="8" t="s">
        <v>211</v>
      </c>
      <c r="F83" s="8">
        <v>5</v>
      </c>
      <c r="G83" s="8" t="s">
        <v>130</v>
      </c>
      <c r="H83" s="8">
        <v>13.979699999999999</v>
      </c>
      <c r="I83" s="8">
        <v>32.653599999999997</v>
      </c>
      <c r="J83" s="8">
        <v>6.7140000000000004</v>
      </c>
      <c r="K83" s="8" t="s">
        <v>182</v>
      </c>
      <c r="L83" s="23">
        <v>46982</v>
      </c>
      <c r="M83" s="8" t="str">
        <f ca="1">DATEDIF(TODAY(),L83,"y")&amp;"年"&amp;DATEDIF(TODAY(),L83,"ym")&amp;"月"</f>
        <v>2年1月</v>
      </c>
      <c r="N83" s="8"/>
      <c r="O83" s="22"/>
      <c r="P83" s="45">
        <f t="shared" si="9"/>
        <v>7</v>
      </c>
    </row>
    <row r="84" spans="1:16" ht="38" customHeight="1">
      <c r="A84" s="46"/>
      <c r="B84" s="8"/>
      <c r="C84" s="8">
        <v>0</v>
      </c>
      <c r="D84" s="8">
        <v>1</v>
      </c>
      <c r="E84" s="8">
        <v>1</v>
      </c>
      <c r="F84" s="8">
        <v>5</v>
      </c>
      <c r="G84" s="8"/>
      <c r="H84" s="8"/>
      <c r="I84" s="22"/>
      <c r="J84" s="22"/>
      <c r="K84" s="26"/>
      <c r="L84" s="8"/>
      <c r="M84" s="8"/>
      <c r="N84" s="22"/>
      <c r="O84" s="26"/>
      <c r="P84" s="45"/>
    </row>
    <row r="85" spans="1:16" ht="36" customHeight="1">
      <c r="A85" s="46" t="s">
        <v>212</v>
      </c>
      <c r="B85" s="8"/>
      <c r="C85" s="8" t="s">
        <v>164</v>
      </c>
      <c r="D85" s="8" t="s">
        <v>17</v>
      </c>
      <c r="E85" s="8" t="s">
        <v>213</v>
      </c>
      <c r="F85" s="8">
        <v>4</v>
      </c>
      <c r="G85" s="8" t="s">
        <v>130</v>
      </c>
      <c r="H85" s="8">
        <v>-7.6899999999999996E-2</v>
      </c>
      <c r="I85" s="8">
        <v>21.179300000000001</v>
      </c>
      <c r="J85" s="8">
        <v>8.5860000000000003</v>
      </c>
      <c r="K85" s="8" t="s">
        <v>182</v>
      </c>
      <c r="L85" s="23">
        <v>47323</v>
      </c>
      <c r="M85" s="8" t="str">
        <f ca="1">DATEDIF(TODAY(),L85,"y")&amp;"年"&amp;DATEDIF(TODAY(),L85,"ym")&amp;"月"</f>
        <v>3年0月</v>
      </c>
      <c r="N85" s="8"/>
      <c r="O85" s="22"/>
      <c r="P85" s="45">
        <f>SUM(B86:O86)</f>
        <v>6</v>
      </c>
    </row>
    <row r="86" spans="1:16" ht="38" customHeight="1">
      <c r="A86" s="46"/>
      <c r="B86" s="8"/>
      <c r="C86" s="8">
        <v>0</v>
      </c>
      <c r="D86" s="8">
        <v>1</v>
      </c>
      <c r="E86" s="8">
        <v>1</v>
      </c>
      <c r="F86" s="8">
        <v>4</v>
      </c>
      <c r="G86" s="8"/>
      <c r="H86" s="8"/>
      <c r="I86" s="22"/>
      <c r="J86" s="22"/>
      <c r="K86" s="26"/>
      <c r="L86" s="8"/>
      <c r="M86" s="8"/>
      <c r="N86" s="22"/>
      <c r="O86" s="26"/>
      <c r="P86" s="45"/>
    </row>
    <row r="87" spans="1:16" ht="36" customHeight="1">
      <c r="A87" s="48" t="s">
        <v>214</v>
      </c>
      <c r="B87" s="10"/>
      <c r="C87" s="10" t="s">
        <v>164</v>
      </c>
      <c r="D87" s="10" t="s">
        <v>17</v>
      </c>
      <c r="E87" s="10" t="s">
        <v>215</v>
      </c>
      <c r="F87" s="10">
        <v>4</v>
      </c>
      <c r="G87" s="10" t="s">
        <v>216</v>
      </c>
      <c r="H87" s="10">
        <v>-18.840499999999999</v>
      </c>
      <c r="I87" s="10">
        <v>19.6282</v>
      </c>
      <c r="J87" s="10">
        <v>5.2610000000000001</v>
      </c>
      <c r="K87" s="29" t="s">
        <v>182</v>
      </c>
      <c r="L87" s="30">
        <v>47446</v>
      </c>
      <c r="M87" s="10" t="str">
        <f ca="1">DATEDIF(TODAY(),L87,"y")&amp;"年"&amp;DATEDIF(TODAY(),L87,"ym")&amp;"月"</f>
        <v>3年4月</v>
      </c>
      <c r="N87" s="10"/>
      <c r="O87" s="29"/>
      <c r="P87" s="45">
        <f>SUM(B88:O88)</f>
        <v>7</v>
      </c>
    </row>
    <row r="88" spans="1:16" ht="38" customHeight="1">
      <c r="A88" s="48"/>
      <c r="B88" s="10"/>
      <c r="C88" s="10">
        <v>1</v>
      </c>
      <c r="D88" s="10">
        <v>1</v>
      </c>
      <c r="E88" s="10">
        <v>1</v>
      </c>
      <c r="F88" s="10">
        <v>4</v>
      </c>
      <c r="G88" s="10"/>
      <c r="H88" s="10"/>
      <c r="I88" s="10"/>
      <c r="J88" s="10"/>
      <c r="K88" s="29"/>
      <c r="L88" s="10"/>
      <c r="M88" s="10"/>
      <c r="N88" s="10"/>
      <c r="O88" s="29"/>
      <c r="P88" s="45"/>
    </row>
    <row r="89" spans="1:16" ht="36" customHeight="1">
      <c r="A89" s="48" t="s">
        <v>217</v>
      </c>
      <c r="B89" s="10"/>
      <c r="C89" s="10" t="s">
        <v>218</v>
      </c>
      <c r="D89" s="10" t="s">
        <v>220</v>
      </c>
      <c r="E89" s="10"/>
      <c r="F89" s="10">
        <v>4</v>
      </c>
      <c r="G89" s="10" t="s">
        <v>216</v>
      </c>
      <c r="H89" s="10">
        <v>-3.9285999999999999</v>
      </c>
      <c r="I89" s="10">
        <v>58.385599999999997</v>
      </c>
      <c r="J89" s="10">
        <v>7.9640000000000004</v>
      </c>
      <c r="K89" s="29" t="s">
        <v>182</v>
      </c>
      <c r="L89" s="30">
        <v>46814</v>
      </c>
      <c r="M89" s="10" t="str">
        <f ca="1">DATEDIF(TODAY(),L89,"y")&amp;"年"&amp;DATEDIF(TODAY(),L89,"ym")&amp;"月"</f>
        <v>1年7月</v>
      </c>
      <c r="N89" s="10"/>
      <c r="O89" s="29"/>
      <c r="P89" s="45">
        <f>SUM(B90:O90)</f>
        <v>4</v>
      </c>
    </row>
    <row r="90" spans="1:16" ht="38" customHeight="1">
      <c r="A90" s="48"/>
      <c r="B90" s="10"/>
      <c r="C90" s="10"/>
      <c r="D90" s="10">
        <v>1</v>
      </c>
      <c r="E90" s="10"/>
      <c r="F90" s="10">
        <v>3</v>
      </c>
      <c r="G90" s="10"/>
      <c r="H90" s="10"/>
      <c r="I90" s="10"/>
      <c r="J90" s="10"/>
      <c r="K90" s="29"/>
      <c r="L90" s="10"/>
      <c r="M90" s="10"/>
      <c r="N90" s="10"/>
      <c r="O90" s="29"/>
      <c r="P90" s="45"/>
    </row>
    <row r="91" spans="1:16" ht="36" customHeight="1">
      <c r="A91" s="48" t="s">
        <v>221</v>
      </c>
      <c r="B91" s="10"/>
      <c r="C91" s="10" t="s">
        <v>222</v>
      </c>
      <c r="D91" s="10" t="s">
        <v>220</v>
      </c>
      <c r="E91" s="10" t="s">
        <v>223</v>
      </c>
      <c r="F91" s="10">
        <v>2.7</v>
      </c>
      <c r="G91" s="10" t="s">
        <v>216</v>
      </c>
      <c r="H91" s="10">
        <v>-5.1622000000000003</v>
      </c>
      <c r="I91" s="10">
        <v>63.661099999999998</v>
      </c>
      <c r="J91" s="10">
        <v>3.1619999999999999</v>
      </c>
      <c r="K91" s="29" t="s">
        <v>182</v>
      </c>
      <c r="L91" s="30">
        <v>46954</v>
      </c>
      <c r="M91" s="10" t="str">
        <f ca="1">DATEDIF(TODAY(),L91,"y")&amp;"年"&amp;DATEDIF(TODAY(),L91,"ym")&amp;"月"</f>
        <v>2年0月</v>
      </c>
      <c r="N91" s="10"/>
      <c r="O91" s="29"/>
      <c r="P91" s="45">
        <f>SUM(B92:O92)</f>
        <v>5</v>
      </c>
    </row>
    <row r="92" spans="1:16" ht="38" customHeight="1">
      <c r="A92" s="48"/>
      <c r="B92" s="10"/>
      <c r="C92" s="10">
        <v>1</v>
      </c>
      <c r="D92" s="10">
        <v>1</v>
      </c>
      <c r="E92" s="10">
        <v>1</v>
      </c>
      <c r="F92" s="10">
        <v>2</v>
      </c>
      <c r="G92" s="10"/>
      <c r="H92" s="10"/>
      <c r="I92" s="10"/>
      <c r="J92" s="10"/>
      <c r="K92" s="29"/>
      <c r="L92" s="10"/>
      <c r="M92" s="10"/>
      <c r="N92" s="10"/>
      <c r="O92" s="29"/>
      <c r="P92" s="45"/>
    </row>
    <row r="93" spans="1:16" ht="55.5" customHeight="1">
      <c r="A93" s="48" t="s">
        <v>224</v>
      </c>
      <c r="B93" s="10"/>
      <c r="C93" s="10" t="s">
        <v>225</v>
      </c>
      <c r="D93" s="10" t="s">
        <v>220</v>
      </c>
      <c r="E93" s="10" t="s">
        <v>226</v>
      </c>
      <c r="F93" s="10">
        <v>3</v>
      </c>
      <c r="G93" s="10" t="s">
        <v>216</v>
      </c>
      <c r="H93" s="10">
        <v>1.2200000000000001E-2</v>
      </c>
      <c r="I93" s="10">
        <v>9.0589999999999993</v>
      </c>
      <c r="J93" s="10">
        <v>8.3320000000000007</v>
      </c>
      <c r="K93" s="29" t="s">
        <v>182</v>
      </c>
      <c r="L93" s="30">
        <v>47084</v>
      </c>
      <c r="M93" s="10" t="str">
        <f ca="1">DATEDIF(TODAY(),L93,"y")&amp;"年"&amp;DATEDIF(TODAY(),L93,"ym")&amp;"月"</f>
        <v>2年4月</v>
      </c>
      <c r="N93" s="10"/>
      <c r="O93" s="29"/>
      <c r="P93" s="45">
        <f>SUM(B94:O94)</f>
        <v>6</v>
      </c>
    </row>
    <row r="94" spans="1:16" ht="47" customHeight="1">
      <c r="A94" s="48"/>
      <c r="B94" s="10"/>
      <c r="C94" s="10">
        <v>1</v>
      </c>
      <c r="D94" s="10">
        <v>1</v>
      </c>
      <c r="E94" s="10">
        <v>1</v>
      </c>
      <c r="F94" s="10">
        <v>3</v>
      </c>
      <c r="G94" s="10"/>
      <c r="H94" s="10"/>
      <c r="I94" s="10"/>
      <c r="J94" s="10"/>
      <c r="K94" s="29"/>
      <c r="L94" s="10"/>
      <c r="M94" s="10"/>
      <c r="N94" s="10"/>
      <c r="O94" s="29"/>
      <c r="P94" s="45"/>
    </row>
    <row r="95" spans="1:16" ht="55.5" customHeight="1">
      <c r="A95" s="48" t="s">
        <v>227</v>
      </c>
      <c r="B95" s="10"/>
      <c r="C95" s="10" t="s">
        <v>228</v>
      </c>
      <c r="D95" s="10" t="s">
        <v>220</v>
      </c>
      <c r="E95" s="10" t="s">
        <v>229</v>
      </c>
      <c r="F95" s="10">
        <v>2.5</v>
      </c>
      <c r="G95" s="10" t="s">
        <v>216</v>
      </c>
      <c r="H95" s="10">
        <v>3.1522999999999999</v>
      </c>
      <c r="I95" s="10">
        <v>80.881200000000007</v>
      </c>
      <c r="J95" s="10">
        <v>5.4859999999999998</v>
      </c>
      <c r="K95" s="29" t="s">
        <v>182</v>
      </c>
      <c r="L95" s="30">
        <v>46853</v>
      </c>
      <c r="M95" s="10" t="str">
        <f ca="1">DATEDIF(TODAY(),L95,"y")&amp;"年"&amp;DATEDIF(TODAY(),L95,"ym")&amp;"月"</f>
        <v>1年8月</v>
      </c>
      <c r="N95" s="10"/>
      <c r="O95" s="29"/>
      <c r="P95" s="45">
        <f>SUM(B96:O96)</f>
        <v>5</v>
      </c>
    </row>
    <row r="96" spans="1:16" ht="47" customHeight="1">
      <c r="A96" s="48"/>
      <c r="B96" s="10"/>
      <c r="C96" s="10">
        <v>1</v>
      </c>
      <c r="D96" s="10">
        <v>1</v>
      </c>
      <c r="E96" s="10">
        <v>1</v>
      </c>
      <c r="F96" s="10">
        <v>2</v>
      </c>
      <c r="G96" s="10"/>
      <c r="H96" s="10"/>
      <c r="I96" s="10"/>
      <c r="J96" s="10"/>
      <c r="K96" s="29"/>
      <c r="L96" s="10"/>
      <c r="M96" s="10"/>
      <c r="N96" s="10"/>
      <c r="O96" s="29"/>
      <c r="P96" s="45"/>
    </row>
    <row r="97" spans="1:16" ht="38" customHeight="1">
      <c r="A97" s="48" t="s">
        <v>230</v>
      </c>
      <c r="B97" s="10"/>
      <c r="C97" s="10" t="s">
        <v>231</v>
      </c>
      <c r="D97" s="10" t="s">
        <v>220</v>
      </c>
      <c r="E97" s="10" t="s">
        <v>232</v>
      </c>
      <c r="F97" s="10">
        <v>4</v>
      </c>
      <c r="G97" s="10" t="s">
        <v>216</v>
      </c>
      <c r="H97" s="10">
        <v>22.052700000000002</v>
      </c>
      <c r="I97" s="10">
        <v>337.2294</v>
      </c>
      <c r="J97" s="10">
        <v>0.9</v>
      </c>
      <c r="K97" s="29" t="s">
        <v>234</v>
      </c>
      <c r="L97" s="30">
        <v>46931</v>
      </c>
      <c r="M97" s="10" t="str">
        <f ca="1">DATEDIF(TODAY(),L97,"y")&amp;"年"&amp;DATEDIF(TODAY(),L97,"ym")&amp;"月"</f>
        <v>1年11月</v>
      </c>
      <c r="N97" s="10"/>
      <c r="O97" s="29"/>
      <c r="P97" s="45">
        <f>SUM(B98:O98)</f>
        <v>7</v>
      </c>
    </row>
    <row r="98" spans="1:16" ht="27" customHeight="1">
      <c r="A98" s="48"/>
      <c r="B98" s="10"/>
      <c r="C98" s="10">
        <v>1</v>
      </c>
      <c r="D98" s="10">
        <v>1</v>
      </c>
      <c r="E98" s="10">
        <v>1</v>
      </c>
      <c r="F98" s="10">
        <v>4</v>
      </c>
      <c r="G98" s="10"/>
      <c r="H98" s="10"/>
      <c r="I98" s="10"/>
      <c r="J98" s="10"/>
      <c r="K98" s="29"/>
      <c r="L98" s="10"/>
      <c r="M98" s="10"/>
      <c r="N98" s="10"/>
      <c r="O98" s="29"/>
      <c r="P98" s="45"/>
    </row>
  </sheetData>
  <mergeCells count="102">
    <mergeCell ref="A95:A96"/>
    <mergeCell ref="P95:P96"/>
    <mergeCell ref="A97:A98"/>
    <mergeCell ref="P97:P98"/>
    <mergeCell ref="A89:A90"/>
    <mergeCell ref="P89:P90"/>
    <mergeCell ref="A91:A92"/>
    <mergeCell ref="P91:P92"/>
    <mergeCell ref="A93:A94"/>
    <mergeCell ref="P93:P94"/>
    <mergeCell ref="P79:P80"/>
    <mergeCell ref="P81:P82"/>
    <mergeCell ref="P83:P84"/>
    <mergeCell ref="P85:P86"/>
    <mergeCell ref="A87:A88"/>
    <mergeCell ref="P87:P88"/>
    <mergeCell ref="P69:P70"/>
    <mergeCell ref="P71:P72"/>
    <mergeCell ref="P73:P74"/>
    <mergeCell ref="P75:P76"/>
    <mergeCell ref="P77:P78"/>
    <mergeCell ref="P59:P60"/>
    <mergeCell ref="P61:P62"/>
    <mergeCell ref="P63:P64"/>
    <mergeCell ref="P65:P66"/>
    <mergeCell ref="P67:P68"/>
    <mergeCell ref="P49:P50"/>
    <mergeCell ref="P51:P52"/>
    <mergeCell ref="P53:P54"/>
    <mergeCell ref="P55:P56"/>
    <mergeCell ref="P57:P58"/>
    <mergeCell ref="P39:P40"/>
    <mergeCell ref="P41:P42"/>
    <mergeCell ref="P43:P44"/>
    <mergeCell ref="P45:P46"/>
    <mergeCell ref="P47:P48"/>
    <mergeCell ref="P29:P30"/>
    <mergeCell ref="P31:P32"/>
    <mergeCell ref="P33:P34"/>
    <mergeCell ref="P35:P36"/>
    <mergeCell ref="P37:P38"/>
    <mergeCell ref="A83:A84"/>
    <mergeCell ref="A85:A86"/>
    <mergeCell ref="P1:P2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A73:A74"/>
    <mergeCell ref="A75:A76"/>
    <mergeCell ref="A77:A78"/>
    <mergeCell ref="A79:A80"/>
    <mergeCell ref="A81:A82"/>
    <mergeCell ref="A63:A64"/>
    <mergeCell ref="A65:A66"/>
    <mergeCell ref="A67:A68"/>
    <mergeCell ref="A69:A70"/>
    <mergeCell ref="A71:A72"/>
    <mergeCell ref="A53:A54"/>
    <mergeCell ref="A55:A56"/>
    <mergeCell ref="A57:A58"/>
    <mergeCell ref="A59:A60"/>
    <mergeCell ref="A61:A62"/>
    <mergeCell ref="A43:A44"/>
    <mergeCell ref="A45:A46"/>
    <mergeCell ref="A47:A48"/>
    <mergeCell ref="A49:A50"/>
    <mergeCell ref="A51:A52"/>
    <mergeCell ref="A33:A34"/>
    <mergeCell ref="A35:A36"/>
    <mergeCell ref="A37:A38"/>
    <mergeCell ref="A39:A40"/>
    <mergeCell ref="A41:A42"/>
    <mergeCell ref="A23:A24"/>
    <mergeCell ref="A25:A26"/>
    <mergeCell ref="A27:A28"/>
    <mergeCell ref="A29:A30"/>
    <mergeCell ref="A31:A32"/>
    <mergeCell ref="A13:A14"/>
    <mergeCell ref="A15:A16"/>
    <mergeCell ref="A17:A18"/>
    <mergeCell ref="A19:A20"/>
    <mergeCell ref="A21:A22"/>
    <mergeCell ref="A3:A4"/>
    <mergeCell ref="A5:A6"/>
    <mergeCell ref="A7:A8"/>
    <mergeCell ref="A9:A10"/>
    <mergeCell ref="A11:A12"/>
    <mergeCell ref="B1:D1"/>
    <mergeCell ref="E1:F1"/>
    <mergeCell ref="G1:K1"/>
    <mergeCell ref="L1:O1"/>
    <mergeCell ref="A1:A2"/>
  </mergeCells>
  <phoneticPr fontId="1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说明</vt:lpstr>
      <vt:lpstr>备选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zhangbing</dc:creator>
  <cp:lastModifiedBy>FireLily</cp:lastModifiedBy>
  <dcterms:created xsi:type="dcterms:W3CDTF">2015-06-05T18:17:00Z</dcterms:created>
  <dcterms:modified xsi:type="dcterms:W3CDTF">2026-07-15T15:21:28Z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B71731527E314C8D83C9EECD1152B323</vt:lpwstr>
  </property>
  <property fmtid="{D5CDD505-2E9C-101B-9397-08002B2CF9AE}" pid="3" name="KSOProductBuildVer">
    <vt:lpwstr>2052-12.1.0.20784</vt:lpwstr>
  </property>
</Properties>
</file>